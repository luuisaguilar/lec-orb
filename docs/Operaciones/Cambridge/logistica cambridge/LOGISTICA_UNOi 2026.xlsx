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MO_MAR" sheetId="1" r:id="rId4"/>
    <sheet state="hidden" name="OBRE_MAR" sheetId="2" r:id="rId5"/>
    <sheet state="hidden" name="OBRE_ABRIL" sheetId="3" r:id="rId6"/>
    <sheet state="hidden" name="HMO_ABRIL" sheetId="4" r:id="rId7"/>
    <sheet state="visible" name="OBRE_MAYO" sheetId="5" r:id="rId8"/>
    <sheet state="visible" name="HMO-PCO MAYO" sheetId="6" r:id="rId9"/>
    <sheet state="hidden" name="HMO_FEB" sheetId="7" r:id="rId10"/>
    <sheet state="hidden" name="OBRE_FEB" sheetId="8" r:id="rId11"/>
    <sheet state="visible" name="DURACION" sheetId="9" r:id="rId12"/>
    <sheet state="visible" name="ZOOM" sheetId="10" r:id="rId13"/>
    <sheet state="visible" name="Hoja 2" sheetId="11" r:id="rId14"/>
    <sheet state="hidden" name="MARZO" sheetId="12" r:id="rId15"/>
    <sheet state="hidden" name="ABRIL" sheetId="13" r:id="rId16"/>
    <sheet state="hidden" name="MAYO" sheetId="14" r:id="rId17"/>
    <sheet state="hidden" name="PRESUPUESTO GASTOS" sheetId="15" r:id="rId18"/>
    <sheet state="hidden" name="Sheet2" sheetId="16" r:id="rId19"/>
    <sheet state="hidden" name="TARIFAS UNOi_2023" sheetId="17" r:id="rId20"/>
  </sheets>
  <definedNames/>
  <calcPr/>
  <extLst>
    <ext uri="GoogleSheetsCustomDataVersion2">
      <go:sheetsCustomData xmlns:go="http://customooxmlschemas.google.com/" r:id="rId21" roundtripDataChecksum="F6EyhedmmWJi2SVl35MP+ZeaAoeLtwrPFkbbOSUjvp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======
ID#AAABy2Ntazc
Diana Suastegui    (2026-02-07 23:17:43)
9 PARES</t>
      </text>
    </comment>
  </commentList>
  <extLst>
    <ext uri="GoogleSheetsCustomDataVersion2">
      <go:sheetsCustomData xmlns:go="http://customooxmlschemas.google.com/" r:id="rId1" roundtripDataSignature="AMtx7mi1cALetRmJGTH92x4eklrahHNrk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Contraseña: 
2025.Lec!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0">
      <text>
        <t xml:space="preserve">======
ID#AAABy2NtazU
Diana Suastegui    (2026-02-07 23:17:43)
GAS-AGUA</t>
      </text>
    </comment>
  </commentList>
  <extLst>
    <ext uri="GoogleSheetsCustomDataVersion2">
      <go:sheetsCustomData xmlns:go="http://customooxmlschemas.google.com/" r:id="rId1" roundtripDataSignature="AMtx7mhseF3ahxgDcNjfoLcr/oINjcDMSA=="/>
    </ext>
  </extLst>
</comments>
</file>

<file path=xl/sharedStrings.xml><?xml version="1.0" encoding="utf-8"?>
<sst xmlns="http://schemas.openxmlformats.org/spreadsheetml/2006/main" count="2316" uniqueCount="547">
  <si>
    <t>AGENDA DE APLICACIONES- MARZO 2026</t>
  </si>
  <si>
    <t>COLEGIO LARREA</t>
  </si>
  <si>
    <t>EVALUACIÓN ORAL</t>
  </si>
  <si>
    <t>EXAMEN ESCRITO</t>
  </si>
  <si>
    <t>Personal</t>
  </si>
  <si>
    <t>Actividad</t>
  </si>
  <si>
    <t>Duración</t>
  </si>
  <si>
    <t>Tarifa</t>
  </si>
  <si>
    <t>Subtotal</t>
  </si>
  <si>
    <t>Sede</t>
  </si>
  <si>
    <t>Examen</t>
  </si>
  <si>
    <t>Alumnos</t>
  </si>
  <si>
    <t>Día</t>
  </si>
  <si>
    <t>Hora</t>
  </si>
  <si>
    <t>Speaking Examiner</t>
  </si>
  <si>
    <t>Andrea Orozco</t>
  </si>
  <si>
    <t>SE</t>
  </si>
  <si>
    <t>$300.00</t>
  </si>
  <si>
    <t>$2,250.00</t>
  </si>
  <si>
    <t>HMO</t>
  </si>
  <si>
    <t>PET for Schools</t>
  </si>
  <si>
    <t>MART 03  MARZO</t>
  </si>
  <si>
    <t>08:00-10:00</t>
  </si>
  <si>
    <t>Selene M</t>
  </si>
  <si>
    <t>SAB 07 MAR</t>
  </si>
  <si>
    <t>08:00-10:30</t>
  </si>
  <si>
    <t>Admin. Lupita Zatarain</t>
  </si>
  <si>
    <t>Argelia Reyes</t>
  </si>
  <si>
    <t>INVIGILATOR</t>
  </si>
  <si>
    <t>$600.00</t>
  </si>
  <si>
    <t>Marisela C-Remoto</t>
  </si>
  <si>
    <t>Invigilator: Giselle</t>
  </si>
  <si>
    <t>SUPER</t>
  </si>
  <si>
    <t>$200.00</t>
  </si>
  <si>
    <t>$700.00</t>
  </si>
  <si>
    <t>Claudia Beltran</t>
  </si>
  <si>
    <t>ADMIN</t>
  </si>
  <si>
    <t>$1,050.00</t>
  </si>
  <si>
    <t>KAREN- Remoto</t>
  </si>
  <si>
    <t>Lupita Zatarain</t>
  </si>
  <si>
    <t>Claudia Camarena</t>
  </si>
  <si>
    <t>Super Tony</t>
  </si>
  <si>
    <t xml:space="preserve">Super. Majo </t>
  </si>
  <si>
    <t>Gabriela de la Rosa</t>
  </si>
  <si>
    <t>SE-Remoto</t>
  </si>
  <si>
    <t>Giselle</t>
  </si>
  <si>
    <t>$1,350.00</t>
  </si>
  <si>
    <t>FCE for Schools</t>
  </si>
  <si>
    <t>10:20-12:00</t>
  </si>
  <si>
    <t>08:00-11:30</t>
  </si>
  <si>
    <t>Admin. Zulema Corbala</t>
  </si>
  <si>
    <t>Juan Carlos</t>
  </si>
  <si>
    <t>Marisela C-Remoto 1 (hasta las 11am)</t>
  </si>
  <si>
    <t>Admin. Claudia Beltran</t>
  </si>
  <si>
    <t>Karen</t>
  </si>
  <si>
    <t>Leslie</t>
  </si>
  <si>
    <t>Super. Argelia Reyes</t>
  </si>
  <si>
    <t>Majo</t>
  </si>
  <si>
    <t>$900.00</t>
  </si>
  <si>
    <t>Marisela C</t>
  </si>
  <si>
    <t>$1,650.00</t>
  </si>
  <si>
    <t>Ruth Q</t>
  </si>
  <si>
    <t>Key for Schools</t>
  </si>
  <si>
    <t>MIERC 04 MARZO</t>
  </si>
  <si>
    <t>08:00-12:00</t>
  </si>
  <si>
    <t>08:00-11:00</t>
  </si>
  <si>
    <t>Marisela C-Remoto (11:00am)</t>
  </si>
  <si>
    <t>KEY for Schools</t>
  </si>
  <si>
    <t>120-Auditorio</t>
  </si>
  <si>
    <t>11:00-13:00</t>
  </si>
  <si>
    <t>Tony</t>
  </si>
  <si>
    <t>$1,500.00</t>
  </si>
  <si>
    <t>Vanessa Z</t>
  </si>
  <si>
    <t xml:space="preserve">Leslie- Remoto </t>
  </si>
  <si>
    <t>Invigilator: Juan Carlos</t>
  </si>
  <si>
    <t>Zulema Corbala</t>
  </si>
  <si>
    <t>Invigilator: Vanessa Z</t>
  </si>
  <si>
    <t>TOTAL</t>
  </si>
  <si>
    <t>$24,850.00</t>
  </si>
  <si>
    <t>Gabriela de la Rosa- Remoto</t>
  </si>
  <si>
    <t>Invigilator: Argelia</t>
  </si>
  <si>
    <t>18-Salon 1</t>
  </si>
  <si>
    <t>Admin. Claudia Camarena</t>
  </si>
  <si>
    <t>Claudia Beltran ( 08-9/11-12)y Ruth Q-Remoto (09-11)</t>
  </si>
  <si>
    <t>Super Majo</t>
  </si>
  <si>
    <t>YLE STARTERS</t>
  </si>
  <si>
    <t>JUE 05 MAR</t>
  </si>
  <si>
    <t>08:00-09:30</t>
  </si>
  <si>
    <t>VIER 06 MAR</t>
  </si>
  <si>
    <t>08:00-09:00</t>
  </si>
  <si>
    <t>$450.00</t>
  </si>
  <si>
    <t>Maria Nelly</t>
  </si>
  <si>
    <t>$750.00</t>
  </si>
  <si>
    <t>YLE MOVERS</t>
  </si>
  <si>
    <t>09:45-11:15</t>
  </si>
  <si>
    <t>09:30-11:00</t>
  </si>
  <si>
    <t>$1,200.00</t>
  </si>
  <si>
    <t>$7,450.00</t>
  </si>
  <si>
    <t>YLE FLYERS</t>
  </si>
  <si>
    <t>11:30-12:00</t>
  </si>
  <si>
    <t>11:20-12:50</t>
  </si>
  <si>
    <t>11:30-12:30</t>
  </si>
  <si>
    <t>ARRIZON +ALEMAN</t>
  </si>
  <si>
    <t>No. Alumnos</t>
  </si>
  <si>
    <t>Horario</t>
  </si>
  <si>
    <t>EXAMEN</t>
  </si>
  <si>
    <t>No. Alumnos por salón</t>
  </si>
  <si>
    <t>DÍA</t>
  </si>
  <si>
    <t xml:space="preserve">HORA </t>
  </si>
  <si>
    <t>PERSONAL</t>
  </si>
  <si>
    <t>1.00 h</t>
  </si>
  <si>
    <t>ARRIZON- ALEMAN</t>
  </si>
  <si>
    <t>LUPITA ZATARAIN</t>
  </si>
  <si>
    <t>Escrito</t>
  </si>
  <si>
    <t>1.50 h</t>
  </si>
  <si>
    <t>CLAUDIA CAMARENA</t>
  </si>
  <si>
    <t>Vanessa</t>
  </si>
  <si>
    <t>Supervisor</t>
  </si>
  <si>
    <t>$850.00</t>
  </si>
  <si>
    <t>Total evento</t>
  </si>
  <si>
    <t>MARIA NELLY</t>
  </si>
  <si>
    <t>ARGELIA REYES</t>
  </si>
  <si>
    <t>SUPER. VANESSA</t>
  </si>
  <si>
    <t>INSTITUTO ALEMAN MULTICULTURAL: DIGITAL</t>
  </si>
  <si>
    <t>EXAMEN COMPUTADORA</t>
  </si>
  <si>
    <t>2.1 GARMENDIA</t>
  </si>
  <si>
    <t>2.2 SORIA</t>
  </si>
  <si>
    <t>GARMENDIA</t>
  </si>
  <si>
    <t>KEY FS</t>
  </si>
  <si>
    <t>SAB 21 MARZO</t>
  </si>
  <si>
    <t>10:20-11:20</t>
  </si>
  <si>
    <t>CLAUDIA CAMARENA- LUPITA Z REMOTO</t>
  </si>
  <si>
    <t>KEY FS- GARMENDIA</t>
  </si>
  <si>
    <t>MAJO</t>
  </si>
  <si>
    <t>2.50 h</t>
  </si>
  <si>
    <t>PET FS</t>
  </si>
  <si>
    <t>09:00-10:30</t>
  </si>
  <si>
    <t>PET FS GARMENDIA</t>
  </si>
  <si>
    <t>10:30-12:30</t>
  </si>
  <si>
    <t>Lupita Zatarain (remoto)</t>
  </si>
  <si>
    <t>SUPERVISOR DIANA</t>
  </si>
  <si>
    <t>Computadora</t>
  </si>
  <si>
    <t>4.00 h</t>
  </si>
  <si>
    <t>Karla Valdez (remoto)</t>
  </si>
  <si>
    <t>Maria Jose</t>
  </si>
  <si>
    <t>4.50 h</t>
  </si>
  <si>
    <t>Otoniel</t>
  </si>
  <si>
    <t>SORIA</t>
  </si>
  <si>
    <t>CLAUDIA BELTRAN-KARLA VALDEZ REMOTO</t>
  </si>
  <si>
    <t>KEY FS- SORIA</t>
  </si>
  <si>
    <t xml:space="preserve">OTONIEL </t>
  </si>
  <si>
    <t>Total Garmendia</t>
  </si>
  <si>
    <t>$3,600.00</t>
  </si>
  <si>
    <t>PET FS SORIA</t>
  </si>
  <si>
    <t>Total Soria</t>
  </si>
  <si>
    <t>SUPERVISOR SORIA: JUAN CARLOS</t>
  </si>
  <si>
    <t>SUPERVISOR GARMENDIA: JUAN CARLOS</t>
  </si>
  <si>
    <t>Total evento digital</t>
  </si>
  <si>
    <t>$7,200.00</t>
  </si>
  <si>
    <t>SEDE: NUEVA GALICIA Secundaria</t>
  </si>
  <si>
    <t>3.50 h</t>
  </si>
  <si>
    <t>CNG SEC</t>
  </si>
  <si>
    <t>PET</t>
  </si>
  <si>
    <t>09:15-10:45</t>
  </si>
  <si>
    <t>VIER 20 MARZO</t>
  </si>
  <si>
    <t>ANDREA OROZCO</t>
  </si>
  <si>
    <t>CLAUDIA BELTRAN-REMOT</t>
  </si>
  <si>
    <t>Claudia Beltran (remoto)</t>
  </si>
  <si>
    <t>KEY</t>
  </si>
  <si>
    <t>KET</t>
  </si>
  <si>
    <t>13.00 h</t>
  </si>
  <si>
    <t>$2,600.00</t>
  </si>
  <si>
    <t>$9,050.00</t>
  </si>
  <si>
    <t>FCE</t>
  </si>
  <si>
    <t>11:00-12:00</t>
  </si>
  <si>
    <t>SAB 21 MAR</t>
  </si>
  <si>
    <t>08:30-12:30</t>
  </si>
  <si>
    <t>ZULEMA CORBALA</t>
  </si>
  <si>
    <t>MORERA</t>
  </si>
  <si>
    <t>MARISELA CASTILLO-REMOTO</t>
  </si>
  <si>
    <t>SUPERVISOR ARGELIA REYES</t>
  </si>
  <si>
    <t>INSTITUTO DE LOS PIONEROS</t>
  </si>
  <si>
    <t>Duración redondeada</t>
  </si>
  <si>
    <t>Ruth Quintero</t>
  </si>
  <si>
    <t>1.5 h</t>
  </si>
  <si>
    <t>PIONEROS</t>
  </si>
  <si>
    <t>MOVERS</t>
  </si>
  <si>
    <t>08:30-09:45</t>
  </si>
  <si>
    <t>RUTH QUINTERO</t>
  </si>
  <si>
    <t>10:00-11:30</t>
  </si>
  <si>
    <t>4.0 h</t>
  </si>
  <si>
    <t>Claudia Camarena (remoto)</t>
  </si>
  <si>
    <t>3.0 h</t>
  </si>
  <si>
    <t>Mabel</t>
  </si>
  <si>
    <t>2.0 h</t>
  </si>
  <si>
    <t>Lluvia Bajeca</t>
  </si>
  <si>
    <t>2.5 h</t>
  </si>
  <si>
    <t>Paulina Izaguirre</t>
  </si>
  <si>
    <t>5.0 h</t>
  </si>
  <si>
    <t>$1,000.00</t>
  </si>
  <si>
    <t>KET FS</t>
  </si>
  <si>
    <t>MABEL</t>
  </si>
  <si>
    <t xml:space="preserve">Total </t>
  </si>
  <si>
    <t>CLAUDIA CAMARENA- REMOTO</t>
  </si>
  <si>
    <t>$5,350.00</t>
  </si>
  <si>
    <t>11:30-12:40</t>
  </si>
  <si>
    <t>08:30-11:00</t>
  </si>
  <si>
    <t>LLUVIA BAJECA</t>
  </si>
  <si>
    <t>SUPERVISOR: PAULINA IZAGUIRRE</t>
  </si>
  <si>
    <t>IODI LEFIER</t>
  </si>
  <si>
    <t>IODI</t>
  </si>
  <si>
    <t>10:20-13:00</t>
  </si>
  <si>
    <t>KAREN LOPEZ</t>
  </si>
  <si>
    <t>GABRIELA DE LA ROSA</t>
  </si>
  <si>
    <t>11:30-13:00</t>
  </si>
  <si>
    <t>09:00-11:00</t>
  </si>
  <si>
    <t>08:00-08:30</t>
  </si>
  <si>
    <t>Super Paulina Izaguirre</t>
  </si>
  <si>
    <t>INSTITUTO MORERA</t>
  </si>
  <si>
    <t>10:30-11:00</t>
  </si>
  <si>
    <t>11:00-12:15</t>
  </si>
  <si>
    <t>SUPER ARGELIA REYES</t>
  </si>
  <si>
    <t>09:15-09:45</t>
  </si>
  <si>
    <t>GISELLE LEYVA</t>
  </si>
  <si>
    <t>11:30-13:30</t>
  </si>
  <si>
    <t>SUPERVISOR ARGELIA</t>
  </si>
  <si>
    <t>SAN MIGUEL</t>
  </si>
  <si>
    <t>miercoles 13 mayo</t>
  </si>
  <si>
    <t>FALTA 1</t>
  </si>
  <si>
    <t>KARLA VALDEZ</t>
  </si>
  <si>
    <t>FLYERS</t>
  </si>
  <si>
    <t>09:00-10:00</t>
  </si>
  <si>
    <t>10:15-11:45</t>
  </si>
  <si>
    <t>SUPERVISOR; MABEL</t>
  </si>
  <si>
    <t>COLEGIO EXCELENCIA</t>
  </si>
  <si>
    <t>LUPITA ZATARAIN-REMOTO</t>
  </si>
  <si>
    <t>09:15-11:15</t>
  </si>
  <si>
    <t>SUPERVISOR SPEAKING: MABEL</t>
  </si>
  <si>
    <t>SUPERVISOR: FALTA 1</t>
  </si>
  <si>
    <t>09:15-10:00</t>
  </si>
  <si>
    <t>10:10-12:35</t>
  </si>
  <si>
    <t>CLAUDIA BELTRAN-REMOTO</t>
  </si>
  <si>
    <t>12:00-13:00</t>
  </si>
  <si>
    <t>SELENE MORENO</t>
  </si>
  <si>
    <t xml:space="preserve">Colegio Bilingue Nueva Galicia </t>
  </si>
  <si>
    <t>CNG</t>
  </si>
  <si>
    <t>09:45-11:00</t>
  </si>
  <si>
    <t>09:45-10:45</t>
  </si>
  <si>
    <t>08:00- 09:30</t>
  </si>
  <si>
    <t>SUPERVISOR; ARGELIA R</t>
  </si>
  <si>
    <t>08:30-10:30</t>
  </si>
  <si>
    <t>10:45-13:15</t>
  </si>
  <si>
    <t>CALIFORNIA</t>
  </si>
  <si>
    <t>10:45-11:45</t>
  </si>
  <si>
    <t>CAM MONTEALBAN- Puerto Peñasco</t>
  </si>
  <si>
    <t>Sabado 30 may</t>
  </si>
  <si>
    <t>10:00-12:00</t>
  </si>
  <si>
    <t>LUPITA Z-REMOTO</t>
  </si>
  <si>
    <t>12:00-12:30</t>
  </si>
  <si>
    <t>OTONIEL Z</t>
  </si>
  <si>
    <t>sabado 30 may</t>
  </si>
  <si>
    <t>fce</t>
  </si>
  <si>
    <t>SUPERVISOR - BRACAMONTES</t>
  </si>
  <si>
    <t>Instituto Regional de Guaymas 10 FEBRERO</t>
  </si>
  <si>
    <t>AGENDA DE APLICACIONES- FEBRERO 2024</t>
  </si>
  <si>
    <r>
      <rPr>
        <rFont val="Aptos Narrow"/>
        <b/>
        <color theme="1"/>
        <sz val="18.0"/>
      </rPr>
      <t xml:space="preserve">PROGRAMACIÓN DE NÓMINAS- </t>
    </r>
    <r>
      <rPr>
        <rFont val="Aptos Narrow"/>
        <b/>
        <color rgb="FFFF0000"/>
        <sz val="18.0"/>
      </rPr>
      <t>SUJETA A CAMBIOS</t>
    </r>
  </si>
  <si>
    <t>Instituto Regional de Guaymas</t>
  </si>
  <si>
    <t>Duracion</t>
  </si>
  <si>
    <t>SE-ADMIN</t>
  </si>
  <si>
    <t>GYMAS</t>
  </si>
  <si>
    <t>98</t>
  </si>
  <si>
    <t>MAR 10 FEB</t>
  </si>
  <si>
    <t>12:00-14:00</t>
  </si>
  <si>
    <t>CLAUDIA BELTRAN REMOTO</t>
  </si>
  <si>
    <t>09:30-11:30</t>
  </si>
  <si>
    <t>12:00-14:30</t>
  </si>
  <si>
    <t>Selene Moreno</t>
  </si>
  <si>
    <t>ARGELIA</t>
  </si>
  <si>
    <t>CLAUDIA BELTRAN</t>
  </si>
  <si>
    <t>KAREN LOPEZ-REMOTO</t>
  </si>
  <si>
    <t>TONY Z</t>
  </si>
  <si>
    <t>MARIA JOSE</t>
  </si>
  <si>
    <t>KARLA VALDEZ-REMOTO</t>
  </si>
  <si>
    <r>
      <rPr>
        <rFont val="Calibri"/>
        <b/>
        <color theme="1"/>
        <sz val="8.0"/>
      </rPr>
      <t>Contacto:</t>
    </r>
    <r>
      <rPr>
        <rFont val="Calibri"/>
        <color theme="1"/>
        <sz val="8.0"/>
      </rPr>
      <t xml:space="preserve"> Lourdes Cervantes. </t>
    </r>
    <r>
      <rPr>
        <rFont val="Calibri"/>
        <b/>
        <color theme="1"/>
        <sz val="8.0"/>
      </rPr>
      <t xml:space="preserve"> Dirección:</t>
    </r>
    <r>
      <rPr>
        <rFont val="Calibri"/>
        <color theme="1"/>
        <sz val="8.0"/>
      </rPr>
      <t xml:space="preserve"> Av. Serdán y Calle 9 #645. Col. Centro</t>
    </r>
  </si>
  <si>
    <t>SUPER. TONY Z</t>
  </si>
  <si>
    <t>SUPER. ARGELIA</t>
  </si>
  <si>
    <t>SUB NOMINA</t>
  </si>
  <si>
    <t>GASOLINA</t>
  </si>
  <si>
    <t>COMIDA</t>
  </si>
  <si>
    <t>Instituto Regional de Guaymas, Plantel Altares</t>
  </si>
  <si>
    <t>Instituto Regional de Guaymas, Plantel Altares 11/02/2026</t>
  </si>
  <si>
    <r>
      <rPr>
        <rFont val="Aptos Narrow"/>
        <b/>
        <color theme="1"/>
        <sz val="18.0"/>
      </rPr>
      <t xml:space="preserve">PROGRAMACIÓN DE NÓMINAS- </t>
    </r>
    <r>
      <rPr>
        <rFont val="Aptos Narrow"/>
        <b/>
        <color rgb="FFFF0000"/>
        <sz val="18.0"/>
      </rPr>
      <t>SUJETA A CAMBIOS</t>
    </r>
  </si>
  <si>
    <t>Alumnos x salón</t>
  </si>
  <si>
    <t>LUN 16 FEB</t>
  </si>
  <si>
    <t>08:30-13:30</t>
  </si>
  <si>
    <t>MIE 11 FEB</t>
  </si>
  <si>
    <t>MARISELA CASTILLO- REMOTO</t>
  </si>
  <si>
    <t>ARGELIA R</t>
  </si>
  <si>
    <t>SELENE M</t>
  </si>
  <si>
    <t>GISELLE</t>
  </si>
  <si>
    <t>Selene/Tony 12:00</t>
  </si>
  <si>
    <t>SUPERs</t>
  </si>
  <si>
    <t>MAJO -TONY</t>
  </si>
  <si>
    <t>MAJO - CALI</t>
  </si>
  <si>
    <r>
      <rPr>
        <rFont val="Century Gothic"/>
        <b/>
        <color theme="1"/>
        <sz val="9.0"/>
      </rPr>
      <t>Contacto:</t>
    </r>
    <r>
      <rPr>
        <rFont val="Century Gothic"/>
        <color theme="1"/>
        <sz val="9.0"/>
      </rPr>
      <t xml:space="preserve"> VALERIA MIRANDA. </t>
    </r>
    <r>
      <rPr>
        <rFont val="Century Gothic"/>
        <b/>
        <color theme="1"/>
        <sz val="9.0"/>
      </rPr>
      <t xml:space="preserve"> Dirección:</t>
    </r>
    <r>
      <rPr>
        <rFont val="Century Gothic"/>
        <color theme="1"/>
        <sz val="9.0"/>
      </rPr>
      <t xml:space="preserve"> Blv. Xolotl #154 Col. Altares.</t>
    </r>
  </si>
  <si>
    <t xml:space="preserve">Instituto Regional Norte - 12/02/2026 </t>
  </si>
  <si>
    <t>Instituto Regional Norte-ACTUALIZACION</t>
  </si>
  <si>
    <r>
      <rPr>
        <rFont val="Aptos Narrow"/>
        <b/>
        <color theme="1"/>
        <sz val="18.0"/>
      </rPr>
      <t xml:space="preserve">PROGRAMACIÓN DE NÓMINAS- </t>
    </r>
    <r>
      <rPr>
        <rFont val="Aptos Narrow"/>
        <b/>
        <color rgb="FFFF0000"/>
        <sz val="18.0"/>
      </rPr>
      <t>SUJETA A CAMBIOS</t>
    </r>
  </si>
  <si>
    <t>EXAMEN ESCRITO/ORAL</t>
  </si>
  <si>
    <t>SEDE</t>
  </si>
  <si>
    <r>
      <rPr>
        <rFont val="Calibri"/>
        <color rgb="FF000000"/>
        <sz val="10.0"/>
      </rPr>
      <t xml:space="preserve">52 </t>
    </r>
    <r>
      <rPr>
        <rFont val="Calibri"/>
        <color rgb="FF000000"/>
        <sz val="9.0"/>
      </rPr>
      <t>(26 PARES)</t>
    </r>
  </si>
  <si>
    <t>JUE 12 FEB</t>
  </si>
  <si>
    <t>ANDREA REYES</t>
  </si>
  <si>
    <t>SELENE M-REMOTO (8-10) KARLA V-10:00-13:00</t>
  </si>
  <si>
    <t>RUTH Q-REMOTO</t>
  </si>
  <si>
    <t>MARISELA C-REMOTO</t>
  </si>
  <si>
    <t>69 (34 pares)</t>
  </si>
  <si>
    <t>11:00-13:30</t>
  </si>
  <si>
    <t xml:space="preserve"> KARLA V-REMOTO</t>
  </si>
  <si>
    <t>TONY</t>
  </si>
  <si>
    <r>
      <rPr>
        <rFont val="Arial"/>
        <b/>
        <color rgb="FF0000FF"/>
      </rPr>
      <t>RUTH Q-REMOTO</t>
    </r>
    <r>
      <rPr>
        <rFont val="Arial"/>
        <b/>
        <color theme="1"/>
      </rPr>
      <t>/ MARIA NELLY</t>
    </r>
  </si>
  <si>
    <t>MARISELA CASTILLO</t>
  </si>
  <si>
    <r>
      <rPr>
        <rFont val="Arial"/>
        <b/>
        <color rgb="FF0000FF"/>
      </rPr>
      <t xml:space="preserve">MARISELA C-REMOTO/ </t>
    </r>
    <r>
      <rPr>
        <rFont val="Arial"/>
        <color theme="1"/>
      </rPr>
      <t>LUPITA 12-13:30</t>
    </r>
  </si>
  <si>
    <t>VICKY -LUIS</t>
  </si>
  <si>
    <t>Supervisor 07:30-14:30</t>
  </si>
  <si>
    <t>DIANA SUASTEGUI</t>
  </si>
  <si>
    <r>
      <rPr>
        <rFont val="Calibri"/>
        <b/>
        <color theme="1"/>
        <sz val="10.0"/>
      </rPr>
      <t>Contacto:</t>
    </r>
    <r>
      <rPr>
        <rFont val="Calibri"/>
        <color theme="1"/>
        <sz val="10.0"/>
      </rPr>
      <t xml:space="preserve"> FRANCISCO PABLOS.   </t>
    </r>
    <r>
      <rPr>
        <rFont val="Calibri"/>
        <b/>
        <color theme="1"/>
        <sz val="10.0"/>
      </rPr>
      <t>Dirección:</t>
    </r>
    <r>
      <rPr>
        <rFont val="Calibri"/>
        <color theme="1"/>
        <sz val="10.0"/>
      </rPr>
      <t xml:space="preserve"> .C. Lázaro Mercado 43, Quinta Emilia, 83170 Hermosillo</t>
    </r>
  </si>
  <si>
    <t>ALTUS MONTREAL</t>
  </si>
  <si>
    <r>
      <rPr>
        <rFont val="Aptos Narrow"/>
        <b/>
        <color theme="1"/>
        <sz val="18.0"/>
      </rPr>
      <t xml:space="preserve">PROGRAMACIÓN DE NÓMINAS- </t>
    </r>
    <r>
      <rPr>
        <rFont val="Aptos Narrow"/>
        <b/>
        <color rgb="FFFF0000"/>
        <sz val="18.0"/>
      </rPr>
      <t>SUJETA A CAMBIOS</t>
    </r>
  </si>
  <si>
    <t>OBRE</t>
  </si>
  <si>
    <t>SAB 07 FEB</t>
  </si>
  <si>
    <t>CALIFORNIA HDZ</t>
  </si>
  <si>
    <t>09:45-11:45</t>
  </si>
  <si>
    <t>SUPER. LLUVIA BAJECA</t>
  </si>
  <si>
    <t>Instituto Regional de Guaymas, plantel OBREGON</t>
  </si>
  <si>
    <r>
      <rPr>
        <rFont val="Aptos Narrow"/>
        <b/>
        <color theme="1"/>
        <sz val="18.0"/>
      </rPr>
      <t xml:space="preserve">PROGRAMACIÓN DE NÓMINAS- </t>
    </r>
    <r>
      <rPr>
        <rFont val="Aptos Narrow"/>
        <b/>
        <color rgb="FFFF0000"/>
        <sz val="18.0"/>
      </rPr>
      <t>SUJETA A CAMBIOS</t>
    </r>
  </si>
  <si>
    <t xml:space="preserve">EXAMEN </t>
  </si>
  <si>
    <t>ALUMNOS</t>
  </si>
  <si>
    <t>DIA</t>
  </si>
  <si>
    <t>HORARIO</t>
  </si>
  <si>
    <t>SPEAKING EXAMINER</t>
  </si>
  <si>
    <t>SE/ADMIN</t>
  </si>
  <si>
    <t>Lunes 09 feb</t>
  </si>
  <si>
    <t xml:space="preserve"> KAREN LOPEZ</t>
  </si>
  <si>
    <t>JOHANA VEGA</t>
  </si>
  <si>
    <t>PAULINA IZAGUIRRE</t>
  </si>
  <si>
    <t>CLAUDIA CAMARENA-REMOTO</t>
  </si>
  <si>
    <t>ANDREA OROZCO-REMOTO</t>
  </si>
  <si>
    <t>SUPER. MARIA JOSE</t>
  </si>
  <si>
    <t>IBV Primaria OBREGON</t>
  </si>
  <si>
    <r>
      <rPr>
        <rFont val="Aptos Narrow"/>
        <b/>
        <color theme="1"/>
        <sz val="18.0"/>
      </rPr>
      <t xml:space="preserve">PROGRAMACIÓN DE NÓMINAS- </t>
    </r>
    <r>
      <rPr>
        <rFont val="Aptos Narrow"/>
        <b/>
        <color rgb="FFFF0000"/>
        <sz val="18.0"/>
      </rPr>
      <t>SUJETA A CAMBIOS</t>
    </r>
  </si>
  <si>
    <t>VIERNES 20 FEB</t>
  </si>
  <si>
    <t>10:15-14:00</t>
  </si>
  <si>
    <t>08:30-10:00</t>
  </si>
  <si>
    <t>SALON 1: MABEL SALAZAR</t>
  </si>
  <si>
    <t>SALON 2: PAULINA IZAGUIRRE</t>
  </si>
  <si>
    <t>GABRIELA</t>
  </si>
  <si>
    <t>SALON 3: CLAUDIA CAMARENA</t>
  </si>
  <si>
    <t>SE-ESCRITO</t>
  </si>
  <si>
    <t>MABEL SALAZAR</t>
  </si>
  <si>
    <t>ESCRITO</t>
  </si>
  <si>
    <t xml:space="preserve">SUPERVISOR LEC: MAJO </t>
  </si>
  <si>
    <t>SUPER. MAJO</t>
  </si>
  <si>
    <t>Nomina programada para el: 06 de marzo</t>
  </si>
  <si>
    <t>IBV Secundaria OBREGON</t>
  </si>
  <si>
    <r>
      <rPr>
        <rFont val="Aptos Narrow"/>
        <b/>
        <color theme="1"/>
        <sz val="18.0"/>
      </rPr>
      <t xml:space="preserve">PROGRAMACIÓN DE NÓMINAS- </t>
    </r>
    <r>
      <rPr>
        <rFont val="Aptos Narrow"/>
        <b/>
        <color rgb="FFFF0000"/>
        <sz val="18.0"/>
      </rPr>
      <t>SUJETA A CAMBIOS</t>
    </r>
  </si>
  <si>
    <t>ALUMNOS X SALON</t>
  </si>
  <si>
    <t>SAB 21 FEB</t>
  </si>
  <si>
    <t>09:30-10:30</t>
  </si>
  <si>
    <t>11:00-14:00</t>
  </si>
  <si>
    <t>ANDREA OROZCO REMOTO</t>
  </si>
  <si>
    <t>YOLANDA ALICIA LOPEZ</t>
  </si>
  <si>
    <t>CLAUDIA SANTILLAN-REMOTO</t>
  </si>
  <si>
    <t>CLAUDIA SANTILLAN</t>
  </si>
  <si>
    <t>SALÓN 1: 20</t>
  </si>
  <si>
    <t>RUTH QUINTERO REMOTO</t>
  </si>
  <si>
    <t>SALÓN 2: 20</t>
  </si>
  <si>
    <t>SALÓN 3: 13</t>
  </si>
  <si>
    <t>STARTERS</t>
  </si>
  <si>
    <t>Mins</t>
  </si>
  <si>
    <t>SE1</t>
  </si>
  <si>
    <t>SE2</t>
  </si>
  <si>
    <t>SE3</t>
  </si>
  <si>
    <t>SE4</t>
  </si>
  <si>
    <t>08:30-09:30</t>
  </si>
  <si>
    <t>Par1</t>
  </si>
  <si>
    <t>Par2</t>
  </si>
  <si>
    <t>Par3</t>
  </si>
  <si>
    <t>Par4</t>
  </si>
  <si>
    <t>Institución</t>
  </si>
  <si>
    <t xml:space="preserve">Día </t>
  </si>
  <si>
    <t>Examinador  (s)</t>
  </si>
  <si>
    <t>ZOOM</t>
  </si>
  <si>
    <t>Liga</t>
  </si>
  <si>
    <t>LAR</t>
  </si>
  <si>
    <t>Coordinacion Examenes</t>
  </si>
  <si>
    <t>https://us06web.zoom.us/j/5301946566
ID de reunión: 530 194 6566</t>
  </si>
  <si>
    <t>MARISELA C</t>
  </si>
  <si>
    <t>Diana Suástegui</t>
  </si>
  <si>
    <t>https://us02web.zoom.us/j/9648961730
ID de reunión: 964 896 1730</t>
  </si>
  <si>
    <t>LESLIE-REMOTO</t>
  </si>
  <si>
    <t>Cursos@lec.mx</t>
  </si>
  <si>
    <t>https://us02web.zoom.us/j/8132291034
ID de reunión: 813 229 1034</t>
  </si>
  <si>
    <t>GABRIELA DE LA ROSA-REMOTO</t>
  </si>
  <si>
    <t>Facturas</t>
  </si>
  <si>
    <t>https://us06web.zoom.us/j/6858722974
ID de reunión: 685 872 2974</t>
  </si>
  <si>
    <t>CLAUDIA BELTRAN (8-9 y de 11:00 a 12:00) RUTH QUINTERO (9-11)</t>
  </si>
  <si>
    <t>Cambridge exams - Speaking pack log</t>
  </si>
  <si>
    <t>Centre number</t>
  </si>
  <si>
    <t>Session Date</t>
  </si>
  <si>
    <t>Date of pack removal from secure area</t>
  </si>
  <si>
    <t>Time Out</t>
  </si>
  <si>
    <t>Speaking pack number</t>
  </si>
  <si>
    <t>Exam</t>
  </si>
  <si>
    <t>Recepient’s name</t>
  </si>
  <si>
    <t>Signature 
 (Recipient)</t>
  </si>
  <si>
    <t>Return Date</t>
  </si>
  <si>
    <t>Return Time</t>
  </si>
  <si>
    <t>Signature 
 (Returner)</t>
  </si>
  <si>
    <t>Diana S.</t>
  </si>
  <si>
    <t>SSP667627842</t>
  </si>
  <si>
    <t>-</t>
  </si>
  <si>
    <t>e.g. John Smith</t>
  </si>
  <si>
    <t>SSP667627837</t>
  </si>
  <si>
    <t>SSP667627847</t>
  </si>
  <si>
    <t>AGENDA DE APLICACIONES- MARZO 2024</t>
  </si>
  <si>
    <r>
      <rPr>
        <rFont val="Aptos Narrow"/>
        <b/>
        <color theme="1"/>
        <sz val="18.0"/>
      </rPr>
      <t xml:space="preserve">PROGRAMACIÓN DE NÓMINAS- </t>
    </r>
    <r>
      <rPr>
        <rFont val="Aptos Narrow"/>
        <b/>
        <color rgb="FFFF0000"/>
        <sz val="18.0"/>
      </rPr>
      <t>SUJETA A CAMBIOS</t>
    </r>
  </si>
  <si>
    <t>APLICADOR</t>
  </si>
  <si>
    <t>TARIFA</t>
  </si>
  <si>
    <t>HRA/ JORNADA</t>
  </si>
  <si>
    <t>OBSERVACIONES</t>
  </si>
  <si>
    <t>INSTITUCIÓN</t>
  </si>
  <si>
    <t>NO. ALUMNOS</t>
  </si>
  <si>
    <t>EVALUADOR</t>
  </si>
  <si>
    <t>EVALUACIÓN ESCRITA</t>
  </si>
  <si>
    <t>INSTITUTO ARRIZON</t>
  </si>
  <si>
    <t>MARTES 05 MARZO</t>
  </si>
  <si>
    <t>ARRIZON 05 MARZO</t>
  </si>
  <si>
    <t>SUBTOTAL</t>
  </si>
  <si>
    <t>10:15-11:15</t>
  </si>
  <si>
    <t>SUPERVISOR 08:00-13:00</t>
  </si>
  <si>
    <r>
      <rPr>
        <rFont val="Century Gothic"/>
        <b/>
        <color theme="1"/>
        <sz val="9.0"/>
      </rPr>
      <t>Contacto:</t>
    </r>
    <r>
      <rPr>
        <rFont val="Century Gothic"/>
        <color theme="1"/>
        <sz val="9.0"/>
      </rPr>
      <t xml:space="preserve"> Profr. Guillermo. </t>
    </r>
    <r>
      <rPr>
        <rFont val="Century Gothic"/>
        <b/>
        <color theme="1"/>
        <sz val="9.0"/>
      </rPr>
      <t xml:space="preserve"> Dirección:</t>
    </r>
    <r>
      <rPr>
        <rFont val="Century Gothic"/>
        <color theme="1"/>
        <sz val="9.0"/>
      </rPr>
      <t xml:space="preserve"> C. República de Guatemala #381, Misioneros.</t>
    </r>
  </si>
  <si>
    <r>
      <rPr>
        <rFont val="Aptos Narrow"/>
        <b/>
        <color theme="1"/>
        <sz val="18.0"/>
      </rPr>
      <t xml:space="preserve">PROGRAMACIÓN DE NÓMINAS- </t>
    </r>
    <r>
      <rPr>
        <rFont val="Aptos Narrow"/>
        <b/>
        <color rgb="FFFF0000"/>
        <sz val="18.0"/>
      </rPr>
      <t>SUJETA A CAMBIOS</t>
    </r>
  </si>
  <si>
    <t>SALON</t>
  </si>
  <si>
    <t>JUEVES 07 MARZO</t>
  </si>
  <si>
    <t>LUPITA ZATARAIN, MARISELA CASTILLO, CLAUDIA CAMARENA, SELENE MORENO</t>
  </si>
  <si>
    <t>VIERNES 08 MARZ</t>
  </si>
  <si>
    <t>09:45-10:30</t>
  </si>
  <si>
    <t>AUDITORIO</t>
  </si>
  <si>
    <t>08:45-09:45</t>
  </si>
  <si>
    <t>SE-YLE LAR</t>
  </si>
  <si>
    <t>10:45-12:45</t>
  </si>
  <si>
    <r>
      <rPr>
        <rFont val="Century Gothic"/>
        <b/>
        <color theme="1"/>
        <sz val="8.0"/>
      </rPr>
      <t xml:space="preserve">ADMIN. </t>
    </r>
    <r>
      <rPr>
        <rFont val="Century Gothic"/>
        <color theme="1"/>
        <sz val="8.0"/>
      </rPr>
      <t xml:space="preserve">ZULEMA CORBALA. </t>
    </r>
    <r>
      <rPr>
        <rFont val="Century Gothic"/>
        <b/>
        <color theme="1"/>
        <sz val="8.0"/>
      </rPr>
      <t>INVIGILATOR</t>
    </r>
    <r>
      <rPr>
        <rFont val="Century Gothic"/>
        <color theme="1"/>
        <sz val="8.0"/>
      </rPr>
      <t xml:space="preserve"> DIANA Y VICKY</t>
    </r>
  </si>
  <si>
    <t>SE/ESCRITO</t>
  </si>
  <si>
    <t>SUPERVISOR 08:00-12:00</t>
  </si>
  <si>
    <r>
      <rPr>
        <rFont val="Century Gothic"/>
        <b/>
        <color theme="1"/>
        <sz val="9.0"/>
      </rPr>
      <t>Contacto:</t>
    </r>
    <r>
      <rPr>
        <rFont val="Century Gothic"/>
        <color theme="1"/>
        <sz val="9.0"/>
      </rPr>
      <t xml:space="preserve"> Samantha Laureano. </t>
    </r>
    <r>
      <rPr>
        <rFont val="Century Gothic"/>
        <b/>
        <color theme="1"/>
        <sz val="9.0"/>
      </rPr>
      <t xml:space="preserve"> Dirección:</t>
    </r>
    <r>
      <rPr>
        <rFont val="Century Gothic"/>
        <color theme="1"/>
        <sz val="9.0"/>
      </rPr>
      <t xml:space="preserve"> G. Cabral, C. Gral. Juan García Cabral, Periodista</t>
    </r>
  </si>
  <si>
    <t>LARREA 07 Y 08 MARZO</t>
  </si>
  <si>
    <r>
      <rPr>
        <rFont val="Aptos Narrow"/>
        <b/>
        <color theme="1"/>
        <sz val="18.0"/>
      </rPr>
      <t xml:space="preserve">PROGRAMACIÓN DE NÓMINAS- </t>
    </r>
    <r>
      <rPr>
        <rFont val="Aptos Narrow"/>
        <b/>
        <color rgb="FFFF0000"/>
        <sz val="18.0"/>
      </rPr>
      <t>SUJETA A CAMBIOS</t>
    </r>
  </si>
  <si>
    <t>MIÉRCOLES 06 MARZO</t>
  </si>
  <si>
    <r>
      <rPr>
        <rFont val="Calibri"/>
        <b/>
        <color rgb="FFFF0000"/>
        <sz val="8.0"/>
      </rPr>
      <t>1-</t>
    </r>
    <r>
      <rPr>
        <rFont val="Calibri"/>
        <color rgb="FFFF0000"/>
        <sz val="8.0"/>
      </rPr>
      <t xml:space="preserve"> LUPITA ZATARAIN Y CLAUDIA CAMARENA. </t>
    </r>
    <r>
      <rPr>
        <rFont val="Calibri"/>
        <b/>
        <color rgb="FFFF0000"/>
        <sz val="8.0"/>
      </rPr>
      <t xml:space="preserve">2.CLAUDIA BELTRAN Y FRANCISCO KET/KAREN PET </t>
    </r>
    <r>
      <rPr>
        <rFont val="Calibri"/>
        <color rgb="FFFF0000"/>
        <sz val="8.0"/>
      </rPr>
      <t xml:space="preserve">Y . </t>
    </r>
    <r>
      <rPr>
        <rFont val="Calibri"/>
        <b/>
        <color rgb="FFFF0000"/>
        <sz val="8.0"/>
      </rPr>
      <t>3.</t>
    </r>
    <r>
      <rPr>
        <rFont val="Calibri"/>
        <color rgb="FFFF0000"/>
        <sz val="8.0"/>
      </rPr>
      <t xml:space="preserve"> SELENE MORENO Y </t>
    </r>
    <r>
      <rPr>
        <rFont val="Calibri"/>
        <b/>
        <color rgb="FFFF0000"/>
        <sz val="8.0"/>
      </rPr>
      <t>MARIA DOMINGUEZ REMOTO. 4.</t>
    </r>
    <r>
      <rPr>
        <rFont val="Calibri"/>
        <color rgb="FFFF0000"/>
        <sz val="8.0"/>
      </rPr>
      <t xml:space="preserve"> </t>
    </r>
    <r>
      <rPr>
        <rFont val="Calibri"/>
        <b/>
        <color rgb="FFFF0000"/>
        <sz val="8.0"/>
      </rPr>
      <t>MARISELA CASTILLO Y  IVONNE CALLEJAS REMOTO</t>
    </r>
  </si>
  <si>
    <t>SÁBADO 09 MARZO</t>
  </si>
  <si>
    <r>
      <rPr>
        <rFont val="Calibri"/>
        <color rgb="FFFF0000"/>
        <sz val="8.0"/>
      </rPr>
      <t xml:space="preserve">ZULEMA CORBALA….   </t>
    </r>
    <r>
      <rPr>
        <rFont val="Calibri"/>
        <b/>
        <color rgb="FFFF0000"/>
        <sz val="8.0"/>
      </rPr>
      <t>LUPITA ZATARAIN-CLAUDIA CAMARENA OTONIEL ZACARIAS</t>
    </r>
  </si>
  <si>
    <t>SE/ESCRITO PET</t>
  </si>
  <si>
    <t>LUPITA ZATARAIN ARGELIA REYES</t>
  </si>
  <si>
    <t>INVIGILATOR KET</t>
  </si>
  <si>
    <t>MARTES 05 DE MARZO</t>
  </si>
  <si>
    <r>
      <rPr>
        <rFont val="Calibri"/>
        <b/>
        <color rgb="FFFF0000"/>
        <sz val="8.0"/>
      </rPr>
      <t>1.</t>
    </r>
    <r>
      <rPr>
        <rFont val="Calibri"/>
        <color rgb="FFFF0000"/>
        <sz val="8.0"/>
      </rPr>
      <t xml:space="preserve"> SELENE MORENO Y </t>
    </r>
    <r>
      <rPr>
        <rFont val="Calibri"/>
        <b/>
        <color rgb="FFFF0000"/>
        <sz val="8.0"/>
      </rPr>
      <t xml:space="preserve"> IVONNE CALLEJA REMOTO </t>
    </r>
    <r>
      <rPr>
        <rFont val="Calibri"/>
        <color rgb="FFFF0000"/>
        <sz val="8.0"/>
      </rPr>
      <t xml:space="preserve">Y CLAUDIA CAMARENA Y </t>
    </r>
    <r>
      <rPr>
        <rFont val="Calibri"/>
        <b/>
        <color rgb="FFFF0000"/>
        <sz val="8.0"/>
      </rPr>
      <t>MARISELA CASTILLO REMOTO</t>
    </r>
  </si>
  <si>
    <t>SUPERVISOR 09:00-11:30- 12:00-14:00</t>
  </si>
  <si>
    <t>SE/ESCRITO- FCE</t>
  </si>
  <si>
    <t>08:30-11:30</t>
  </si>
  <si>
    <t xml:space="preserve">SALON 1-15  </t>
  </si>
  <si>
    <t>SUPERVISOR 08:00-10:00</t>
  </si>
  <si>
    <t>SUPERVISOR  CALI EL 06 MARZO</t>
  </si>
  <si>
    <t>ZULEMA CORBALA-</t>
  </si>
  <si>
    <t xml:space="preserve">  SALON 2-14</t>
  </si>
  <si>
    <r>
      <rPr>
        <rFont val="Century Gothic"/>
        <b/>
        <color rgb="FFFF0000"/>
        <sz val="9.0"/>
      </rPr>
      <t>Contacto:</t>
    </r>
    <r>
      <rPr>
        <rFont val="Century Gothic"/>
        <color rgb="FFFF0000"/>
        <sz val="9.0"/>
      </rPr>
      <t xml:space="preserve"> Laura Morales. </t>
    </r>
    <r>
      <rPr>
        <rFont val="Century Gothic"/>
        <b/>
        <color rgb="FFFF0000"/>
        <sz val="9.0"/>
      </rPr>
      <t xml:space="preserve"> Dirección:</t>
    </r>
    <r>
      <rPr>
        <rFont val="Century Gothic"/>
        <color rgb="FFFF0000"/>
        <sz val="9.0"/>
      </rPr>
      <t xml:space="preserve"> G. Cabral, C. Gral. Juan García Cabral, Periodista</t>
    </r>
  </si>
  <si>
    <t>SUPERVISOR 08:30-12:00</t>
  </si>
  <si>
    <t>SAUL/ANDREA</t>
  </si>
  <si>
    <t>FRANCISCO MTY</t>
  </si>
  <si>
    <t>ENTRADA POR LA CALLE LATERAL SECU</t>
  </si>
  <si>
    <t>TARIFA KET ADMIN</t>
  </si>
  <si>
    <t>TARIFA KET INV/SUP</t>
  </si>
  <si>
    <t>MARIA DOMINGUEZ</t>
  </si>
  <si>
    <t>SE-FCE-LAR</t>
  </si>
  <si>
    <t>SE-PET KET LAR</t>
  </si>
  <si>
    <t>IVONNE CALLEJA</t>
  </si>
  <si>
    <t>ESCRITO FCE</t>
  </si>
  <si>
    <t>ESCRITO KET</t>
  </si>
  <si>
    <t>OTONIEL ZACARIAS</t>
  </si>
  <si>
    <t>INVIGILATO KET</t>
  </si>
  <si>
    <t>INVIGILATOR PET</t>
  </si>
  <si>
    <t>SAUL RUBIO</t>
  </si>
  <si>
    <t>INVIGILATOR FCE</t>
  </si>
  <si>
    <t>SUPERVISOR FCE</t>
  </si>
  <si>
    <t>LARREA 05,06 Y 09 DE MARZO</t>
  </si>
  <si>
    <r>
      <rPr>
        <rFont val="Aptos Narrow"/>
        <b/>
        <color theme="1"/>
        <sz val="18.0"/>
      </rPr>
      <t xml:space="preserve">PROGRAMACIÓN DE NÓMINAS- </t>
    </r>
    <r>
      <rPr>
        <rFont val="Aptos Narrow"/>
        <b/>
        <color rgb="FFFF0000"/>
        <sz val="18.0"/>
      </rPr>
      <t>SUJETA A CAMBIOS</t>
    </r>
  </si>
  <si>
    <t>SE REMOTO</t>
  </si>
  <si>
    <t>COLEGIO NUEVA GALICIA SEC</t>
  </si>
  <si>
    <t>VIERNES 15 MARZO</t>
  </si>
  <si>
    <t>11:00-11:45</t>
  </si>
  <si>
    <r>
      <rPr>
        <rFont val="Century Gothic"/>
        <b/>
        <color rgb="FFFF0000"/>
        <sz val="8.0"/>
      </rPr>
      <t xml:space="preserve">1- MARIA DOMINGUEZ (HASTA LA 13:00) </t>
    </r>
    <r>
      <rPr>
        <rFont val="Century Gothic"/>
        <color theme="1"/>
        <sz val="8.0"/>
      </rPr>
      <t xml:space="preserve">Y CLAUDIA CAMARENA. 2 SELENE MORENO y  MARISELA CASTILLO </t>
    </r>
  </si>
  <si>
    <t>SABADO 16 MARZO</t>
  </si>
  <si>
    <t>09:00-11:30</t>
  </si>
  <si>
    <t>ADMIN. MARISELA CASTILLO C.  INVIGILATOR: ARGELIA</t>
  </si>
  <si>
    <t>INSTITUTO ALEMAN</t>
  </si>
  <si>
    <t>11:45-14:15</t>
  </si>
  <si>
    <t>SUPERVISOR 16MARZO</t>
  </si>
  <si>
    <t>SUPERVISOR 08:00-14:00</t>
  </si>
  <si>
    <t>SUPERVISOR 15 MARZO</t>
  </si>
  <si>
    <t>SUPERVISOR: 11:00-14:15</t>
  </si>
  <si>
    <t>CNG 15 Y 16 MARZO</t>
  </si>
  <si>
    <t xml:space="preserve">SEDE DE EXAMENES: COLEGIO NUEVA GALICIA </t>
  </si>
  <si>
    <r>
      <rPr>
        <rFont val="Aptos Narrow"/>
        <b/>
        <color theme="1"/>
        <sz val="18.0"/>
      </rPr>
      <t xml:space="preserve">PROGRAMACIÓN DE NÓMINAS- </t>
    </r>
    <r>
      <rPr>
        <rFont val="Aptos Narrow"/>
        <b/>
        <color rgb="FFFF0000"/>
        <sz val="18.0"/>
      </rPr>
      <t>SUJETA A CAMBIOS</t>
    </r>
  </si>
  <si>
    <t>CNG PRIMARIA</t>
  </si>
  <si>
    <t>ZULEMA C</t>
  </si>
  <si>
    <t>LEC SORIA</t>
  </si>
  <si>
    <t xml:space="preserve">SUPERVISOR </t>
  </si>
  <si>
    <t>CNG PRIMARIA 22 MARZO</t>
  </si>
  <si>
    <t>COLEGIO NUEGA GALICIA</t>
  </si>
  <si>
    <t>VIERNES 12 ABRIL</t>
  </si>
  <si>
    <t>SELENE MORENO-CLAUDIA CAMARENA</t>
  </si>
  <si>
    <t>SABADO 13 ABRIL</t>
  </si>
  <si>
    <t>CONTACTO: CHRISTIAN LEDEZMA</t>
  </si>
  <si>
    <t>KEYSTON</t>
  </si>
  <si>
    <t>SÁBADO 13 ABRIL</t>
  </si>
  <si>
    <t>10:00-11:00</t>
  </si>
  <si>
    <t>SUPERVISOR 08:00-11:00</t>
  </si>
  <si>
    <t>No. Alumnos * salón</t>
  </si>
  <si>
    <t>LUNES 27 MAY</t>
  </si>
  <si>
    <t>DOCUMENTOS REALIZADOS EN CENTRES</t>
  </si>
  <si>
    <t>VIERNES 31 MAYO</t>
  </si>
  <si>
    <t>MARIA NELLY-LUPITA ZATARAIN</t>
  </si>
  <si>
    <t>APLICACIONES</t>
  </si>
  <si>
    <t>SESIÓN</t>
  </si>
  <si>
    <t>CANDIDATOS</t>
  </si>
  <si>
    <t>TARIFA (2023)</t>
  </si>
  <si>
    <t>IRGuaymas</t>
  </si>
  <si>
    <t>GASTOS OPERATIVOS</t>
  </si>
  <si>
    <t>NOMINAS</t>
  </si>
  <si>
    <t>VIÁTICOS</t>
  </si>
  <si>
    <t>SUBTOTAL GASTOS</t>
  </si>
  <si>
    <t>TOTAL COMISIÓN</t>
  </si>
  <si>
    <t>IRGuaymas-Altares HMO</t>
  </si>
  <si>
    <t>IRGuaymas-Norte HMO</t>
  </si>
  <si>
    <t>SUBTOTAL COMISION</t>
  </si>
  <si>
    <t>15-16 MAR</t>
  </si>
  <si>
    <t>VIATICOS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</si>
</sst>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.m"/>
    <numFmt numFmtId="165" formatCode="dddd d mmmm"/>
    <numFmt numFmtId="166" formatCode="m/d/yy"/>
    <numFmt numFmtId="167" formatCode="dddd d mmm"/>
    <numFmt numFmtId="168" formatCode="d mmmm"/>
    <numFmt numFmtId="169" formatCode="_-&quot;$&quot;* #,##0.00_-;\-&quot;$&quot;* #,##0.00_-;_-&quot;$&quot;* &quot;-&quot;??_-;_-@"/>
    <numFmt numFmtId="170" formatCode="dd/mm/yyyy"/>
  </numFmts>
  <fonts count="114">
    <font>
      <sz val="11.0"/>
      <color theme="1"/>
      <name val="Aptos Narrow"/>
      <scheme val="minor"/>
    </font>
    <font>
      <b/>
      <sz val="28.0"/>
      <color theme="1"/>
      <name val="Arial"/>
    </font>
    <font>
      <b/>
      <sz val="28.0"/>
      <color theme="1"/>
      <name val="Aptos Narrow"/>
    </font>
    <font>
      <b/>
      <sz val="22.0"/>
      <color theme="8"/>
      <name val="Aptos Narrow"/>
    </font>
    <font>
      <sz val="10.0"/>
      <color theme="1"/>
      <name val="Calibri"/>
    </font>
    <font>
      <b/>
      <sz val="18.0"/>
      <color theme="1"/>
      <name val="Calibri"/>
    </font>
    <font/>
    <font>
      <b/>
      <sz val="11.0"/>
      <color rgb="FF000000"/>
      <name val="&quot;Aptos Narrow&quot;"/>
    </font>
    <font>
      <b/>
      <sz val="10.0"/>
      <color theme="1"/>
      <name val="Calibri"/>
    </font>
    <font>
      <b/>
      <sz val="9.0"/>
      <color theme="1"/>
      <name val="Calibri"/>
    </font>
    <font>
      <sz val="11.0"/>
      <color rgb="FF000000"/>
      <name val="&quot;Aptos Narrow&quot;"/>
    </font>
    <font>
      <sz val="11.0"/>
      <color theme="1"/>
      <name val="Aptos Narrow"/>
    </font>
    <font>
      <sz val="10.0"/>
      <color theme="1"/>
      <name val="Aptos Narrow"/>
    </font>
    <font>
      <b/>
      <sz val="10.0"/>
      <color rgb="FF980000"/>
      <name val="Arial"/>
    </font>
    <font>
      <sz val="10.0"/>
      <color theme="1"/>
      <name val="Arial"/>
    </font>
    <font>
      <b/>
      <sz val="10.0"/>
      <color rgb="FF0000FF"/>
      <name val="Arial"/>
    </font>
    <font>
      <color theme="1"/>
      <name val="Arial"/>
    </font>
    <font>
      <b/>
      <sz val="10.0"/>
      <color theme="1"/>
      <name val="Aptos Narrow"/>
    </font>
    <font>
      <b/>
      <sz val="11.0"/>
      <color rgb="FF0000FF"/>
      <name val="Arial"/>
    </font>
    <font>
      <color theme="1"/>
      <name val="Aptos Narrow"/>
      <scheme val="minor"/>
    </font>
    <font>
      <sz val="11.0"/>
      <color rgb="FF000000"/>
      <name val="Calibri"/>
    </font>
    <font>
      <b/>
      <sz val="10.0"/>
      <color rgb="FF000000"/>
      <name val="Arial"/>
    </font>
    <font>
      <b/>
      <sz val="22.0"/>
      <color rgb="FFDE5A18"/>
      <name val="Aptos Narrow"/>
    </font>
    <font>
      <b/>
      <sz val="11.0"/>
      <color rgb="FF000000"/>
      <name val="Calibri"/>
    </font>
    <font>
      <b/>
      <sz val="10.0"/>
      <color theme="1"/>
      <name val="Arial"/>
    </font>
    <font>
      <b/>
      <sz val="24.0"/>
      <color rgb="FF0B769F"/>
      <name val="Arial"/>
    </font>
    <font>
      <sz val="10.0"/>
      <color theme="1"/>
      <name val="Century Gothic"/>
    </font>
    <font>
      <b/>
      <sz val="16.0"/>
      <color theme="1"/>
      <name val="Century Gothic"/>
    </font>
    <font>
      <b/>
      <color theme="1"/>
      <name val="Aptos Narrow"/>
      <scheme val="minor"/>
    </font>
    <font>
      <sz val="10.0"/>
      <color rgb="FF000000"/>
      <name val="Calibri"/>
    </font>
    <font>
      <b/>
      <sz val="9.0"/>
      <color rgb="FF000000"/>
      <name val="Calibri"/>
    </font>
    <font>
      <b/>
      <sz val="10.0"/>
      <color rgb="FF000000"/>
      <name val="Calibri"/>
    </font>
    <font>
      <sz val="9.0"/>
      <color theme="1"/>
      <name val="Calibri"/>
    </font>
    <font>
      <b/>
      <sz val="18.0"/>
      <color theme="1"/>
      <name val="Aptos Narrow"/>
      <scheme val="minor"/>
    </font>
    <font>
      <b/>
      <sz val="24.0"/>
      <color rgb="FFFF00FF"/>
      <name val="Arial"/>
    </font>
    <font>
      <sz val="11.0"/>
      <color rgb="FF0000FF"/>
      <name val="Calibri"/>
    </font>
    <font>
      <b/>
      <sz val="11.0"/>
      <color rgb="FF0000FF"/>
      <name val="Calibri"/>
    </font>
    <font>
      <b/>
      <sz val="11.0"/>
      <color rgb="FF980000"/>
      <name val="Calibri"/>
    </font>
    <font>
      <b/>
      <sz val="11.0"/>
      <color theme="1"/>
      <name val="Calibri"/>
    </font>
    <font>
      <b/>
      <sz val="11.0"/>
      <color theme="8"/>
      <name val="Calibri"/>
    </font>
    <font>
      <b/>
      <sz val="11.0"/>
      <color rgb="FFA02B93"/>
      <name val="Calibri"/>
    </font>
    <font>
      <b/>
      <sz val="11.0"/>
      <color rgb="FF215E99"/>
      <name val="Calibri"/>
    </font>
    <font>
      <b/>
      <sz val="11.0"/>
      <color theme="1"/>
      <name val="Aptos Narrow"/>
      <scheme val="minor"/>
    </font>
    <font>
      <b/>
      <sz val="24.0"/>
      <color rgb="FFB45F06"/>
      <name val="Arial"/>
    </font>
    <font>
      <b/>
      <sz val="26.0"/>
      <color theme="1"/>
      <name val="Arial"/>
    </font>
    <font>
      <b/>
      <sz val="14.0"/>
      <color theme="1"/>
      <name val="Arial"/>
    </font>
    <font>
      <b/>
      <sz val="14.0"/>
      <color theme="1"/>
      <name val="Aptos Narrow"/>
      <scheme val="minor"/>
    </font>
    <font>
      <b/>
      <color theme="1"/>
      <name val="Arial"/>
    </font>
    <font>
      <b/>
      <sz val="24.0"/>
      <color rgb="FF9900FF"/>
      <name val="Arial"/>
    </font>
    <font>
      <b/>
      <sz val="24.0"/>
      <color rgb="FF0000FF"/>
      <name val="Arial"/>
    </font>
    <font>
      <b/>
      <sz val="16.0"/>
      <color theme="1"/>
      <name val="Arial"/>
    </font>
    <font>
      <b/>
      <sz val="13.0"/>
      <color theme="1"/>
      <name val="Arial"/>
    </font>
    <font>
      <b/>
      <sz val="14.0"/>
      <color rgb="FF000000"/>
      <name val="Arial"/>
    </font>
    <font>
      <b/>
      <sz val="24.0"/>
      <color rgb="FFFF9900"/>
      <name val="Arial"/>
    </font>
    <font>
      <b/>
      <sz val="22.0"/>
      <color rgb="FFDE5A18"/>
      <name val="Arial"/>
    </font>
    <font>
      <b/>
      <sz val="18.0"/>
      <color theme="1"/>
      <name val="Aptos Narrow"/>
    </font>
    <font>
      <b/>
      <sz val="12.0"/>
      <color theme="1"/>
      <name val="Aptos Narrow"/>
    </font>
    <font>
      <sz val="11.0"/>
      <color rgb="FFFF0000"/>
      <name val="Aptos Narrow"/>
    </font>
    <font>
      <sz val="11.0"/>
      <color theme="1"/>
      <name val="Arial"/>
    </font>
    <font>
      <sz val="8.0"/>
      <color theme="1"/>
      <name val="Calibri"/>
    </font>
    <font>
      <b/>
      <sz val="11.0"/>
      <color theme="1"/>
      <name val="Aptos Narrow"/>
    </font>
    <font>
      <b/>
      <sz val="24.0"/>
      <color theme="1"/>
      <name val="Aptos Narrow"/>
    </font>
    <font>
      <b/>
      <sz val="20.0"/>
      <color rgb="FF0B769F"/>
      <name val="Aptos Narrow"/>
    </font>
    <font>
      <b/>
      <sz val="20.0"/>
      <color rgb="FF0B769F"/>
      <name val="Arial"/>
    </font>
    <font>
      <b/>
      <sz val="18.0"/>
      <color theme="1"/>
      <name val="Arial"/>
    </font>
    <font>
      <b/>
      <sz val="14.0"/>
      <color rgb="FF000000"/>
      <name val="Calibri"/>
    </font>
    <font>
      <b/>
      <sz val="12.0"/>
      <color rgb="FF000000"/>
      <name val="Calibri"/>
    </font>
    <font>
      <b/>
      <sz val="9.0"/>
      <color rgb="FF000000"/>
      <name val="Arial"/>
    </font>
    <font>
      <b/>
      <sz val="10.0"/>
      <color theme="8"/>
      <name val="Calibri"/>
    </font>
    <font>
      <b/>
      <sz val="11.0"/>
      <color theme="1"/>
      <name val="Arial"/>
    </font>
    <font>
      <sz val="9.0"/>
      <color rgb="FF000000"/>
      <name val="Calibri"/>
    </font>
    <font>
      <sz val="9.0"/>
      <color theme="1"/>
      <name val="Century Gothic"/>
    </font>
    <font>
      <b/>
      <sz val="22.0"/>
      <color rgb="FF3A7D22"/>
      <name val="Arial"/>
    </font>
    <font>
      <b/>
      <sz val="24.0"/>
      <color rgb="FF0B769F"/>
      <name val="Aptos Narrow"/>
    </font>
    <font>
      <b/>
      <sz val="24.0"/>
      <color theme="8"/>
      <name val="Aptos Narrow"/>
    </font>
    <font>
      <sz val="10.0"/>
      <color theme="1"/>
      <name val="Aptos Narrow"/>
      <scheme val="minor"/>
    </font>
    <font>
      <b/>
      <sz val="14.0"/>
      <color theme="1"/>
      <name val="Aptos Narrow"/>
    </font>
    <font>
      <sz val="14.0"/>
      <color theme="1"/>
      <name val="Aptos Narrow"/>
    </font>
    <font>
      <b/>
      <sz val="11.0"/>
      <color theme="9"/>
      <name val="Aptos Narrow"/>
    </font>
    <font>
      <b/>
      <sz val="11.0"/>
      <color theme="8"/>
      <name val="Aptos Narrow"/>
    </font>
    <font>
      <b/>
      <sz val="11.0"/>
      <color theme="7"/>
      <name val="Aptos Narrow"/>
    </font>
    <font>
      <sz val="11.0"/>
      <color theme="9"/>
      <name val="Aptos Narrow"/>
    </font>
    <font>
      <sz val="11.0"/>
      <color theme="8"/>
      <name val="Aptos Narrow"/>
    </font>
    <font>
      <sz val="11.0"/>
      <color theme="7"/>
      <name val="Aptos Narrow"/>
    </font>
    <font>
      <b/>
      <sz val="11.0"/>
      <color theme="5"/>
      <name val="Aptos Narrow"/>
    </font>
    <font>
      <b/>
      <sz val="11.0"/>
      <color rgb="FF0F4861"/>
      <name val="Aptos Narrow"/>
    </font>
    <font>
      <b/>
      <sz val="11.0"/>
      <color rgb="FFCC9B00"/>
      <name val="Aptos Narrow"/>
    </font>
    <font>
      <sz val="11.0"/>
      <color theme="5"/>
      <name val="Aptos Narrow"/>
    </font>
    <font>
      <b/>
      <sz val="14.0"/>
      <color rgb="FF000000"/>
      <name val="&quot;Aptos Narrow&quot;"/>
    </font>
    <font>
      <i/>
      <sz val="11.0"/>
      <color rgb="FFA6A6A6"/>
      <name val="Arial"/>
    </font>
    <font>
      <i/>
      <sz val="14.0"/>
      <color rgb="FFA6A6A6"/>
      <name val="Arial"/>
    </font>
    <font>
      <i/>
      <sz val="11.0"/>
      <color rgb="FFA6A6A6"/>
      <name val="&quot;Aptos Narrow&quot;"/>
    </font>
    <font>
      <i/>
      <sz val="14.0"/>
      <color rgb="FFA6A6A6"/>
      <name val="&quot;Brush Script MT&quot;"/>
    </font>
    <font>
      <b/>
      <sz val="10.0"/>
      <color theme="0"/>
      <name val="Century Gothic"/>
    </font>
    <font>
      <b/>
      <sz val="14.0"/>
      <color theme="1"/>
      <name val="Century Gothic"/>
    </font>
    <font>
      <b/>
      <sz val="9.0"/>
      <color theme="0"/>
      <name val="Century Gothic"/>
    </font>
    <font>
      <b/>
      <sz val="11.0"/>
      <color rgb="FF000000"/>
      <name val="Century Gothic"/>
    </font>
    <font>
      <sz val="10.0"/>
      <color rgb="FF000000"/>
      <name val="Century Gothic"/>
    </font>
    <font>
      <sz val="9.0"/>
      <color rgb="FF000000"/>
      <name val="Century Gothic"/>
    </font>
    <font>
      <b/>
      <sz val="11.0"/>
      <color theme="1"/>
      <name val="Century Gothic"/>
    </font>
    <font>
      <sz val="8.0"/>
      <color theme="1"/>
      <name val="Century Gothic"/>
    </font>
    <font>
      <b/>
      <sz val="11.0"/>
      <color rgb="FFFF0000"/>
      <name val="Aptos Narrow"/>
    </font>
    <font>
      <b/>
      <sz val="10.0"/>
      <color rgb="FFFF0000"/>
      <name val="Calibri"/>
    </font>
    <font>
      <b/>
      <sz val="9.0"/>
      <color rgb="FFFF0000"/>
      <name val="Calibri"/>
    </font>
    <font>
      <sz val="10.0"/>
      <color rgb="FFFF0000"/>
      <name val="Calibri"/>
    </font>
    <font>
      <b/>
      <sz val="11.0"/>
      <color rgb="FFFF0000"/>
      <name val="Calibri"/>
    </font>
    <font>
      <sz val="8.0"/>
      <color rgb="FFFF0000"/>
      <name val="Calibri"/>
    </font>
    <font>
      <b/>
      <sz val="8.0"/>
      <color rgb="FFFF0000"/>
      <name val="Calibri"/>
    </font>
    <font>
      <sz val="11.0"/>
      <color rgb="FFFF0000"/>
      <name val="Calibri"/>
    </font>
    <font>
      <sz val="9.0"/>
      <color rgb="FFFF0000"/>
      <name val="Century Gothic"/>
    </font>
    <font>
      <b/>
      <sz val="10.0"/>
      <color theme="1"/>
      <name val="Century Gothic"/>
    </font>
    <font>
      <b/>
      <sz val="9.0"/>
      <color theme="1"/>
      <name val="Century Gothic"/>
    </font>
    <font>
      <sz val="9.0"/>
      <color theme="1"/>
      <name val="Aptos Narrow"/>
    </font>
    <font>
      <sz val="12.0"/>
      <color theme="1"/>
      <name val="Aptos Narrow"/>
    </font>
  </fonts>
  <fills count="61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1CEEE"/>
        <bgColor rgb="FFF1CEEE"/>
      </patternFill>
    </fill>
    <fill>
      <patternFill patternType="solid">
        <fgColor rgb="FF7F7F7F"/>
        <bgColor rgb="FF7F7F7F"/>
      </patternFill>
    </fill>
    <fill>
      <patternFill patternType="solid">
        <fgColor rgb="FFE49EDD"/>
        <bgColor rgb="FFE49ED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  <fill>
      <patternFill patternType="solid">
        <fgColor rgb="FF666666"/>
        <bgColor rgb="FF666666"/>
      </patternFill>
    </fill>
    <fill>
      <patternFill patternType="solid">
        <fgColor rgb="FFFAE2D5"/>
        <bgColor rgb="FFFAE2D5"/>
      </patternFill>
    </fill>
    <fill>
      <patternFill patternType="solid">
        <fgColor rgb="FFF1A983"/>
        <bgColor rgb="FFF1A983"/>
      </patternFill>
    </fill>
    <fill>
      <patternFill patternType="solid">
        <fgColor rgb="FFD9EAD3"/>
        <bgColor rgb="FFD9EAD3"/>
      </patternFill>
    </fill>
    <fill>
      <patternFill patternType="solid">
        <fgColor rgb="FFCAEDFB"/>
        <bgColor rgb="FFCAEDFB"/>
      </patternFill>
    </fill>
    <fill>
      <patternFill patternType="solid">
        <fgColor rgb="FF60CBF3"/>
        <bgColor rgb="FF60CBF3"/>
      </patternFill>
    </fill>
    <fill>
      <patternFill patternType="solid">
        <fgColor theme="1"/>
        <bgColor theme="1"/>
      </patternFill>
    </fill>
    <fill>
      <patternFill patternType="solid">
        <fgColor rgb="FFFBFFFF"/>
        <bgColor rgb="FFFBFFFF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CC9B00"/>
        <bgColor rgb="FFCC9B00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  <fill>
      <patternFill patternType="solid">
        <fgColor theme="7"/>
        <bgColor theme="7"/>
      </patternFill>
    </fill>
    <fill>
      <patternFill patternType="solid">
        <fgColor rgb="FFD9FFFF"/>
        <bgColor rgb="FFD9FFFF"/>
      </patternFill>
    </fill>
    <fill>
      <patternFill patternType="solid">
        <fgColor rgb="FFC1E4F5"/>
        <bgColor rgb="FFC1E4F5"/>
      </patternFill>
    </fill>
    <fill>
      <patternFill patternType="solid">
        <fgColor rgb="FFAEAEAE"/>
        <bgColor rgb="FFAEAEAE"/>
      </patternFill>
    </fill>
    <fill>
      <patternFill patternType="solid">
        <fgColor rgb="FFD9F2D0"/>
        <bgColor rgb="FFD9F2D0"/>
      </patternFill>
    </fill>
    <fill>
      <patternFill patternType="solid">
        <fgColor rgb="FF84E291"/>
        <bgColor rgb="FF84E291"/>
      </patternFill>
    </fill>
    <fill>
      <patternFill patternType="solid">
        <fgColor rgb="FFB7B7B7"/>
        <bgColor rgb="FFB7B7B7"/>
      </patternFill>
    </fill>
    <fill>
      <patternFill patternType="solid">
        <fgColor rgb="FFD76DCC"/>
        <bgColor rgb="FFD76DCC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rgb="FF215E99"/>
        <bgColor rgb="FF215E99"/>
      </patternFill>
    </fill>
    <fill>
      <patternFill patternType="solid">
        <fgColor rgb="FFFFC000"/>
        <bgColor rgb="FFFFC000"/>
      </patternFill>
    </fill>
    <fill>
      <patternFill patternType="solid">
        <fgColor rgb="FFB6D7A8"/>
        <bgColor rgb="FFB6D7A8"/>
      </patternFill>
    </fill>
    <fill>
      <patternFill patternType="solid">
        <fgColor rgb="FFDAE9F8"/>
        <bgColor rgb="FFDAE9F8"/>
      </patternFill>
    </fill>
    <fill>
      <patternFill patternType="solid">
        <fgColor rgb="FFC00000"/>
        <bgColor rgb="FFC00000"/>
      </patternFill>
    </fill>
    <fill>
      <patternFill patternType="solid">
        <fgColor rgb="FFC1F0C8"/>
        <bgColor rgb="FFC1F0C8"/>
      </patternFill>
    </fill>
    <fill>
      <patternFill patternType="solid">
        <fgColor rgb="FF8ED873"/>
        <bgColor rgb="FF8ED87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4D94D8"/>
        <bgColor rgb="FF4D94D8"/>
      </patternFill>
    </fill>
    <fill>
      <patternFill patternType="solid">
        <fgColor rgb="FFDBE9F7"/>
        <bgColor rgb="FFDBE9F7"/>
      </patternFill>
    </fill>
  </fills>
  <borders count="146">
    <border/>
    <border>
      <left/>
      <right/>
      <top/>
      <bottom/>
    </border>
    <border>
      <left style="thin">
        <color rgb="FFD8D8D8"/>
      </left>
      <top style="thin">
        <color rgb="FFD8D8D8"/>
      </top>
      <bottom style="thin">
        <color rgb="FF7F7F7F"/>
      </bottom>
    </border>
    <border>
      <top style="thin">
        <color rgb="FFD8D8D8"/>
      </top>
      <bottom style="thin">
        <color rgb="FF7F7F7F"/>
      </bottom>
    </border>
    <border>
      <right style="thin">
        <color rgb="FFD8D8D8"/>
      </right>
      <top style="thin">
        <color rgb="FFD8D8D8"/>
      </top>
      <bottom style="thin">
        <color rgb="FF7F7F7F"/>
      </bottom>
    </border>
    <border>
      <left style="thin">
        <color rgb="FFD8D8D8"/>
      </left>
      <right style="thin">
        <color rgb="FFD8D8D8"/>
      </right>
      <top style="thin">
        <color rgb="FFD8D8D8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top style="thin">
        <color rgb="FF7F7F7F"/>
      </top>
    </border>
    <border>
      <left style="thin">
        <color rgb="FF7F7F7F"/>
      </left>
    </border>
    <border>
      <left style="thin">
        <color rgb="FF7F7F7F"/>
      </left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top style="thin">
        <color rgb="FFD8D8D8"/>
      </top>
    </border>
    <border>
      <left style="thin">
        <color rgb="FFA5A5A5"/>
      </left>
      <right style="thin">
        <color rgb="FFA5A5A5"/>
      </right>
      <top style="thin">
        <color rgb="FFA5A5A5"/>
      </top>
      <bottom/>
    </border>
    <border>
      <left/>
      <right/>
      <top style="thin">
        <color rgb="FFD8D8D8"/>
      </top>
      <bottom/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/>
      <right/>
      <top style="thin">
        <color rgb="FFD8D8D8"/>
      </top>
    </border>
    <border>
      <left style="thin">
        <color rgb="FFA5A5A5"/>
      </left>
      <right style="thin">
        <color rgb="FFA5A5A5"/>
      </right>
    </border>
    <border>
      <left/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top style="thin">
        <color rgb="FFA5A5A5"/>
      </top>
    </border>
    <border>
      <top style="thin">
        <color rgb="FFA5A5A5"/>
      </top>
    </border>
    <border>
      <right style="thin">
        <color rgb="FFA5A5A5"/>
      </right>
      <top style="thin">
        <color rgb="FFA5A5A5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D8D8D8"/>
      </left>
      <top style="thin">
        <color rgb="FFD8D8D8"/>
      </top>
      <bottom/>
    </border>
    <border>
      <top style="thin">
        <color rgb="FFD8D8D8"/>
      </top>
      <bottom/>
    </border>
    <border>
      <right style="thin">
        <color rgb="FFD8D8D8"/>
      </right>
      <top style="thin">
        <color rgb="FFD8D8D8"/>
      </top>
      <bottom/>
    </border>
    <border>
      <left style="thin">
        <color rgb="FFD8D8D8"/>
      </left>
      <right style="thin">
        <color rgb="FFD8D8D8"/>
      </right>
      <top style="thin">
        <color rgb="FFD8D8D8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A5A5A5"/>
      </left>
      <bottom style="thin">
        <color rgb="FFA5A5A5"/>
      </bottom>
    </border>
    <border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/>
      <right/>
      <top style="thin">
        <color rgb="FFBFBFBF"/>
      </top>
      <bottom style="thin">
        <color rgb="FFBFBFBF"/>
      </bottom>
    </border>
    <border>
      <left style="thin">
        <color rgb="FFA5A5A5"/>
      </left>
      <right style="thin">
        <color rgb="FFA5A5A5"/>
      </right>
      <bottom/>
    </border>
    <border>
      <left style="thin">
        <color rgb="FFA5A5A5"/>
      </left>
      <right style="thin">
        <color rgb="FFA5A5A5"/>
      </right>
      <bottom style="medium">
        <color rgb="FF000000"/>
      </bottom>
    </border>
    <border>
      <left style="medium">
        <color rgb="FF000000"/>
      </left>
      <right style="thin">
        <color rgb="FFA5A5A5"/>
      </right>
      <top style="medium">
        <color rgb="FF000000"/>
      </top>
    </border>
    <border>
      <left style="thin">
        <color rgb="FFA5A5A5"/>
      </left>
      <right style="thin">
        <color rgb="FFA5A5A5"/>
      </right>
      <top style="medium">
        <color rgb="FF000000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medium">
        <color rgb="FF000000"/>
      </top>
    </border>
    <border>
      <left style="thin">
        <color rgb="FFA5A5A5"/>
      </left>
      <right style="medium">
        <color rgb="FF000000"/>
      </right>
      <top style="medium">
        <color rgb="FF000000"/>
      </top>
      <bottom style="thin">
        <color rgb="FFA5A5A5"/>
      </bottom>
    </border>
    <border>
      <left style="medium">
        <color rgb="FF000000"/>
      </left>
      <right style="thin">
        <color rgb="FFA5A5A5"/>
      </right>
    </border>
    <border>
      <left style="thin">
        <color rgb="FFA5A5A5"/>
      </left>
      <right style="medium">
        <color rgb="FF000000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</border>
    <border>
      <left style="thin">
        <color rgb="FFA5A5A5"/>
      </left>
      <right/>
    </border>
    <border>
      <left/>
      <right/>
      <top style="thin">
        <color rgb="FFBFBFBF"/>
      </top>
      <bottom/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thin">
        <color rgb="FFA5A5A5"/>
      </left>
      <right/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 style="medium">
        <color rgb="FF000000"/>
      </left>
      <right style="thin">
        <color rgb="FFA5A5A5"/>
      </right>
      <bottom/>
    </border>
    <border>
      <left style="thin">
        <color rgb="FFA5A5A5"/>
      </left>
      <right style="thin">
        <color rgb="FFA5A5A5"/>
      </right>
      <bottom style="thin">
        <color rgb="FF7F7F7F"/>
      </bottom>
    </border>
    <border>
      <left style="thin">
        <color rgb="FFA5A5A5"/>
      </left>
      <right style="medium">
        <color rgb="FF000000"/>
      </right>
      <top style="thin">
        <color rgb="FFA5A5A5"/>
      </top>
      <bottom/>
    </border>
    <border>
      <left/>
      <top/>
      <bottom style="thin">
        <color rgb="FFA5A5A5"/>
      </bottom>
    </border>
    <border>
      <top/>
      <bottom style="thin">
        <color rgb="FFA5A5A5"/>
      </bottom>
    </border>
    <border>
      <right style="thin">
        <color rgb="FFD8D8D8"/>
      </right>
      <top/>
      <bottom style="thin">
        <color rgb="FFA5A5A5"/>
      </bottom>
    </border>
    <border>
      <left style="thin">
        <color rgb="FFD8D8D8"/>
      </left>
      <right style="thin">
        <color rgb="FFD8D8D8"/>
      </right>
    </border>
    <border>
      <left style="thin">
        <color rgb="FFD8D8D8"/>
      </left>
      <bottom/>
    </border>
    <border>
      <bottom/>
    </border>
    <border>
      <right style="thin">
        <color rgb="FFD8D8D8"/>
      </right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top/>
      <bottom style="thin">
        <color rgb="FFBFBFBF"/>
      </bottom>
    </border>
    <border>
      <left style="thin">
        <color rgb="FFA5A5A5"/>
      </lef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top style="thin">
        <color rgb="FFBFBFBF"/>
      </top>
      <bottom style="thin">
        <color rgb="FFBFBFBF"/>
      </bottom>
    </border>
    <border>
      <top style="thin">
        <color rgb="FFBFBFBF"/>
      </top>
    </border>
    <border>
      <bottom style="thin">
        <color rgb="FFBFBFBF"/>
      </bottom>
    </border>
    <border>
      <right/>
      <top style="thin">
        <color rgb="FFBFBFBF"/>
      </top>
    </border>
    <border>
      <right style="thin">
        <color rgb="FFA5A5A5"/>
      </right>
    </border>
    <border>
      <right/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/>
      <bottom/>
    </border>
    <border>
      <right/>
      <bottom/>
    </border>
    <border>
      <right style="thin">
        <color rgb="FF7F7F7F"/>
      </right>
      <top style="thin">
        <color rgb="FF7F7F7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A5A5A5"/>
      </left>
      <top style="thin">
        <color rgb="FFA5A5A5"/>
      </top>
      <bottom/>
    </border>
    <border>
      <top style="thin">
        <color rgb="FFA5A5A5"/>
      </top>
      <bottom/>
    </border>
    <border>
      <right style="thin">
        <color rgb="FFA5A5A5"/>
      </right>
      <top style="thin">
        <color rgb="FFA5A5A5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0C0C0C"/>
      </left>
      <right style="thin">
        <color rgb="FF0C0C0C"/>
      </right>
      <top style="thin">
        <color rgb="FF0C0C0C"/>
      </top>
      <bottom style="thin">
        <color rgb="FF0C0C0C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C0C0C"/>
      </left>
      <right style="thin">
        <color rgb="FF0C0C0C"/>
      </right>
      <top style="thin">
        <color rgb="FF0C0C0C"/>
      </top>
    </border>
    <border>
      <left style="thin">
        <color rgb="FF000000"/>
      </left>
      <top style="thin">
        <color rgb="FF000000"/>
      </top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BFBFBF"/>
      </left>
      <right/>
      <top style="thin">
        <color rgb="FFBFBFBF"/>
      </top>
    </border>
    <border>
      <left style="thin">
        <color rgb="FFBFBFBF"/>
      </left>
      <top style="thin">
        <color rgb="FFA5A5A5"/>
      </top>
      <bottom style="thin">
        <color rgb="FFBFBFBF"/>
      </bottom>
    </border>
    <border>
      <right style="thin">
        <color rgb="FFBFBFBF"/>
      </right>
      <top style="thin">
        <color rgb="FFA5A5A5"/>
      </top>
      <bottom style="thin">
        <color rgb="FFBFBFBF"/>
      </bottom>
    </border>
    <border>
      <left style="thin">
        <color rgb="FFBFBFBF"/>
      </left>
      <right/>
      <bottom style="thin">
        <color rgb="FFBFBFBF"/>
      </bottom>
    </border>
    <border>
      <right/>
      <top/>
      <bottom style="thin">
        <color rgb="FFA5A5A5"/>
      </bottom>
    </border>
    <border>
      <left style="thin">
        <color rgb="FFD8D8D8"/>
      </left>
      <top/>
      <bottom/>
    </border>
    <border>
      <left style="thin">
        <color rgb="FFD8D8D8"/>
      </left>
      <right/>
      <top style="thin">
        <color rgb="FFD8D8D8"/>
      </top>
      <bottom/>
    </border>
    <border>
      <left style="thin">
        <color rgb="FFBFBFBF"/>
      </left>
      <right/>
      <top style="thin">
        <color rgb="FFBFBFBF"/>
      </top>
      <bottom/>
    </border>
    <border>
      <left style="thin">
        <color rgb="FFD8D8D8"/>
      </left>
      <top style="thin">
        <color rgb="FFD8D8D8"/>
      </top>
    </border>
    <border>
      <left style="thin">
        <color rgb="FFBFBFBF"/>
      </left>
      <top style="thin">
        <color rgb="FFBFBFBF"/>
      </top>
    </border>
    <border>
      <left style="thin">
        <color rgb="FFBFBFBF"/>
      </left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left style="thin">
        <color rgb="FFD8D8D8"/>
      </left>
      <right style="thin">
        <color rgb="FFD8D8D8"/>
      </right>
      <top/>
      <bottom/>
    </border>
    <border>
      <left/>
      <top/>
      <bottom style="thin">
        <color rgb="FFD8D8D8"/>
      </bottom>
    </border>
    <border>
      <top/>
      <bottom style="thin">
        <color rgb="FFD8D8D8"/>
      </bottom>
    </border>
    <border>
      <right style="thin">
        <color rgb="FFD8D8D8"/>
      </right>
      <top/>
      <bottom style="thin">
        <color rgb="FFD8D8D8"/>
      </bottom>
    </border>
    <border>
      <left/>
      <right style="thin">
        <color rgb="FFA5A5A5"/>
      </right>
      <top style="thin">
        <color rgb="FFA5A5A5"/>
      </top>
    </border>
    <border>
      <right style="thin">
        <color rgb="FF000000"/>
      </right>
      <top style="thin">
        <color rgb="FF000000"/>
      </top>
    </border>
    <border>
      <left/>
      <right style="thin">
        <color rgb="FFA5A5A5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A5A5A5"/>
      </left>
      <right/>
      <top/>
      <bottom style="thin">
        <color rgb="FFA5A5A5"/>
      </bottom>
    </border>
    <border>
      <left style="thin">
        <color rgb="FFA5A5A5"/>
      </left>
      <right style="thin">
        <color rgb="FFA5A5A5"/>
      </right>
      <top/>
      <bottom style="thin">
        <color rgb="FFA5A5A5"/>
      </bottom>
    </border>
    <border>
      <left/>
      <right style="thin">
        <color rgb="FFA5A5A5"/>
      </right>
      <bottom style="thin">
        <color rgb="FFA5A5A5"/>
      </bottom>
    </border>
    <border>
      <right style="thin">
        <color rgb="FFD8D8D8"/>
      </right>
      <top style="thin">
        <color rgb="FFA5A5A5"/>
      </top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 style="thin">
        <color rgb="FFA5A5A5"/>
      </left>
      <top/>
      <bottom style="thin">
        <color rgb="FFA5A5A5"/>
      </bottom>
    </border>
    <border>
      <right style="thin">
        <color rgb="FFA5A5A5"/>
      </right>
      <top/>
      <bottom style="thin">
        <color rgb="FFA5A5A5"/>
      </bottom>
    </border>
    <border>
      <left style="thin">
        <color rgb="FF00B0F0"/>
      </left>
      <right style="thin">
        <color rgb="FF00B0F0"/>
      </right>
      <top style="thin">
        <color rgb="FF00B0F0"/>
      </top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</border>
    <border>
      <left style="thin">
        <color rgb="FF00B0F0"/>
      </left>
      <right style="thin">
        <color rgb="FF00B0F0"/>
      </right>
    </border>
    <border>
      <left style="thin">
        <color rgb="FF00B0F0"/>
      </left>
      <right style="thin">
        <color rgb="FF00B0F0"/>
      </right>
      <bottom style="thin">
        <color rgb="FF00B0F0"/>
      </bottom>
    </border>
  </borders>
  <cellStyleXfs count="1">
    <xf borderId="0" fillId="0" fontId="0" numFmtId="0" applyAlignment="1" applyFont="1"/>
  </cellStyleXfs>
  <cellXfs count="9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2" fillId="3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5" fillId="4" fontId="4" numFmtId="0" xfId="0" applyAlignment="1" applyBorder="1" applyFill="1" applyFont="1">
      <alignment horizontal="center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right" readingOrder="0" vertical="bottom"/>
    </xf>
    <xf borderId="6" fillId="5" fontId="8" numFmtId="0" xfId="0" applyAlignment="1" applyBorder="1" applyFill="1" applyFont="1">
      <alignment horizontal="center" shrinkToFit="0" vertical="center" wrapText="1"/>
    </xf>
    <xf borderId="6" fillId="5" fontId="9" numFmtId="0" xfId="0" applyAlignment="1" applyBorder="1" applyFont="1">
      <alignment horizontal="center" shrinkToFit="0" vertical="center" wrapText="1"/>
    </xf>
    <xf borderId="6" fillId="4" fontId="8" numFmtId="0" xfId="0" applyAlignment="1" applyBorder="1" applyFont="1">
      <alignment horizontal="center" shrinkToFit="0" vertical="center" wrapText="1"/>
    </xf>
    <xf borderId="0" fillId="6" fontId="10" numFmtId="0" xfId="0" applyAlignment="1" applyFill="1" applyFont="1">
      <alignment readingOrder="0" vertical="bottom"/>
    </xf>
    <xf borderId="0" fillId="7" fontId="10" numFmtId="0" xfId="0" applyAlignment="1" applyFill="1" applyFont="1">
      <alignment horizontal="right" readingOrder="0" vertical="bottom"/>
    </xf>
    <xf borderId="0" fillId="7" fontId="10" numFmtId="164" xfId="0" applyAlignment="1" applyFont="1" applyNumberFormat="1">
      <alignment horizontal="right" readingOrder="0" vertical="bottom"/>
    </xf>
    <xf borderId="0" fillId="7" fontId="10" numFmtId="49" xfId="0" applyAlignment="1" applyFont="1" applyNumberFormat="1">
      <alignment horizontal="right" readingOrder="0" vertical="bottom"/>
    </xf>
    <xf borderId="7" fillId="0" fontId="11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7" fillId="0" fontId="13" numFmtId="0" xfId="0" applyAlignment="1" applyBorder="1" applyFont="1">
      <alignment horizontal="center" readingOrder="0" shrinkToFit="0" vertical="center" wrapText="1"/>
    </xf>
    <xf borderId="7" fillId="0" fontId="12" numFmtId="20" xfId="0" applyAlignment="1" applyBorder="1" applyFont="1" applyNumberFormat="1">
      <alignment horizontal="center" vertical="center"/>
    </xf>
    <xf borderId="6" fillId="0" fontId="12" numFmtId="0" xfId="0" applyAlignment="1" applyBorder="1" applyFont="1">
      <alignment horizontal="center" shrinkToFit="0" vertical="center" wrapText="1"/>
    </xf>
    <xf borderId="6" fillId="4" fontId="11" numFmtId="0" xfId="0" applyBorder="1" applyFont="1"/>
    <xf borderId="7" fillId="0" fontId="14" numFmtId="0" xfId="0" applyAlignment="1" applyBorder="1" applyFont="1">
      <alignment horizontal="center" readingOrder="0" shrinkToFit="0" vertical="center" wrapText="1"/>
    </xf>
    <xf borderId="8" fillId="7" fontId="15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readingOrder="0"/>
    </xf>
    <xf borderId="0" fillId="6" fontId="10" numFmtId="0" xfId="0" applyAlignment="1" applyFont="1">
      <alignment horizontal="right" readingOrder="0" vertical="bottom"/>
    </xf>
    <xf borderId="0" fillId="6" fontId="10" numFmtId="49" xfId="0" applyAlignment="1" applyFont="1" applyNumberFormat="1">
      <alignment horizontal="right" readingOrder="0" vertical="bottom"/>
    </xf>
    <xf borderId="9" fillId="0" fontId="6" numFmtId="0" xfId="0" applyBorder="1" applyFont="1"/>
    <xf borderId="6" fillId="3" fontId="12" numFmtId="0" xfId="0" applyAlignment="1" applyBorder="1" applyFont="1">
      <alignment horizontal="center" shrinkToFit="0" vertical="center" wrapText="1"/>
    </xf>
    <xf borderId="6" fillId="0" fontId="14" numFmtId="0" xfId="0" applyAlignment="1" applyBorder="1" applyFont="1">
      <alignment horizontal="center" readingOrder="0"/>
    </xf>
    <xf borderId="0" fillId="6" fontId="10" numFmtId="164" xfId="0" applyAlignment="1" applyFont="1" applyNumberFormat="1">
      <alignment horizontal="right" readingOrder="0" vertical="bottom"/>
    </xf>
    <xf borderId="6" fillId="4" fontId="12" numFmtId="0" xfId="0" applyAlignment="1" applyBorder="1" applyFont="1">
      <alignment horizontal="center"/>
    </xf>
    <xf borderId="6" fillId="8" fontId="14" numFmtId="0" xfId="0" applyAlignment="1" applyBorder="1" applyFill="1" applyFont="1">
      <alignment horizontal="center" readingOrder="0" shrinkToFit="0" vertical="center" wrapText="1"/>
    </xf>
    <xf borderId="10" fillId="0" fontId="6" numFmtId="0" xfId="0" applyBorder="1" applyFont="1"/>
    <xf borderId="6" fillId="7" fontId="14" numFmtId="0" xfId="0" applyAlignment="1" applyBorder="1" applyFont="1">
      <alignment horizontal="center" readingOrder="0" shrinkToFit="0" vertical="center" wrapText="1"/>
    </xf>
    <xf borderId="6" fillId="4" fontId="12" numFmtId="0" xfId="0" applyAlignment="1" applyBorder="1" applyFont="1">
      <alignment horizontal="center" shrinkToFit="0" vertical="center" wrapText="1"/>
    </xf>
    <xf borderId="6" fillId="0" fontId="17" numFmtId="0" xfId="0" applyAlignment="1" applyBorder="1" applyFont="1">
      <alignment horizontal="center"/>
    </xf>
    <xf borderId="7" fillId="5" fontId="8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8" fillId="0" fontId="14" numFmtId="0" xfId="0" applyAlignment="1" applyBorder="1" applyFont="1">
      <alignment horizontal="center" readingOrder="0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8" fillId="0" fontId="11" numFmtId="20" xfId="0" applyAlignment="1" applyBorder="1" applyFont="1" applyNumberFormat="1">
      <alignment horizontal="center" vertical="center"/>
    </xf>
    <xf borderId="6" fillId="3" fontId="14" numFmtId="0" xfId="0" applyAlignment="1" applyBorder="1" applyFont="1">
      <alignment horizontal="center" readingOrder="0" shrinkToFit="0" vertical="center" wrapText="1"/>
    </xf>
    <xf borderId="12" fillId="0" fontId="6" numFmtId="0" xfId="0" applyBorder="1" applyFont="1"/>
    <xf borderId="8" fillId="7" fontId="18" numFmtId="0" xfId="0" applyAlignment="1" applyBorder="1" applyFont="1">
      <alignment horizontal="center" readingOrder="0" shrinkToFit="0" vertical="center" wrapText="1"/>
    </xf>
    <xf borderId="8" fillId="9" fontId="12" numFmtId="0" xfId="0" applyAlignment="1" applyBorder="1" applyFill="1" applyFont="1">
      <alignment horizontal="center" shrinkToFit="0" vertical="center" wrapText="1"/>
    </xf>
    <xf borderId="8" fillId="9" fontId="11" numFmtId="20" xfId="0" applyAlignment="1" applyBorder="1" applyFont="1" applyNumberFormat="1">
      <alignment horizontal="center" vertical="center"/>
    </xf>
    <xf borderId="8" fillId="9" fontId="12" numFmtId="0" xfId="0" applyAlignment="1" applyBorder="1" applyFont="1">
      <alignment horizontal="center"/>
    </xf>
    <xf borderId="0" fillId="7" fontId="10" numFmtId="0" xfId="0" applyAlignment="1" applyFont="1">
      <alignment readingOrder="0" vertical="bottom"/>
    </xf>
    <xf borderId="13" fillId="0" fontId="6" numFmtId="0" xfId="0" applyBorder="1" applyFont="1"/>
    <xf borderId="8" fillId="9" fontId="19" numFmtId="0" xfId="0" applyBorder="1" applyFont="1"/>
    <xf borderId="10" fillId="4" fontId="11" numFmtId="0" xfId="0" applyBorder="1" applyFont="1"/>
    <xf borderId="13" fillId="4" fontId="11" numFmtId="0" xfId="0" applyBorder="1" applyFont="1"/>
    <xf borderId="8" fillId="0" fontId="17" numFmtId="0" xfId="0" applyAlignment="1" applyBorder="1" applyFont="1">
      <alignment horizontal="center"/>
    </xf>
    <xf borderId="7" fillId="0" fontId="15" numFmtId="0" xfId="0" applyAlignment="1" applyBorder="1" applyFont="1">
      <alignment horizontal="center" readingOrder="0" shrinkToFit="0" vertical="center" wrapText="1"/>
    </xf>
    <xf borderId="7" fillId="4" fontId="12" numFmtId="0" xfId="0" applyAlignment="1" applyBorder="1" applyFont="1">
      <alignment horizontal="center" shrinkToFit="0" vertical="center" wrapText="1"/>
    </xf>
    <xf borderId="11" fillId="4" fontId="12" numFmtId="0" xfId="0" applyAlignment="1" applyBorder="1" applyFont="1">
      <alignment horizontal="center" shrinkToFit="0" vertical="center" wrapText="1"/>
    </xf>
    <xf borderId="9" fillId="0" fontId="14" numFmtId="0" xfId="0" applyAlignment="1" applyBorder="1" applyFont="1">
      <alignment horizontal="center" readingOrder="0" shrinkToFit="0" vertical="center" wrapText="1"/>
    </xf>
    <xf borderId="11" fillId="0" fontId="14" numFmtId="0" xfId="0" applyAlignment="1" applyBorder="1" applyFont="1">
      <alignment horizontal="center" readingOrder="0" shrinkToFit="0" vertical="center" wrapText="1"/>
    </xf>
    <xf borderId="14" fillId="10" fontId="12" numFmtId="0" xfId="0" applyAlignment="1" applyBorder="1" applyFill="1" applyFont="1">
      <alignment horizontal="center" shrinkToFit="0" vertical="center" wrapText="1"/>
    </xf>
    <xf borderId="14" fillId="0" fontId="12" numFmtId="0" xfId="0" applyAlignment="1" applyBorder="1" applyFont="1">
      <alignment horizontal="center" shrinkToFit="0" vertical="center" wrapText="1"/>
    </xf>
    <xf borderId="6" fillId="0" fontId="14" numFmtId="0" xfId="0" applyAlignment="1" applyBorder="1" applyFont="1">
      <alignment horizontal="center" readingOrder="0" shrinkToFit="0" vertical="center" wrapText="1"/>
    </xf>
    <xf borderId="15" fillId="0" fontId="6" numFmtId="0" xfId="0" applyBorder="1" applyFont="1"/>
    <xf borderId="8" fillId="0" fontId="12" numFmtId="0" xfId="0" applyAlignment="1" applyBorder="1" applyFont="1">
      <alignment horizontal="center"/>
    </xf>
    <xf borderId="9" fillId="0" fontId="12" numFmtId="0" xfId="0" applyAlignment="1" applyBorder="1" applyFont="1">
      <alignment horizontal="center" readingOrder="0" shrinkToFit="0" vertical="center" wrapText="1"/>
    </xf>
    <xf borderId="8" fillId="0" fontId="14" numFmtId="0" xfId="0" applyAlignment="1" applyBorder="1" applyFont="1">
      <alignment horizontal="center" readingOrder="0"/>
    </xf>
    <xf borderId="0" fillId="7" fontId="20" numFmtId="0" xfId="0" applyAlignment="1" applyFont="1">
      <alignment shrinkToFit="0" vertical="bottom" wrapText="0"/>
    </xf>
    <xf borderId="0" fillId="7" fontId="20" numFmtId="0" xfId="0" applyAlignment="1" applyFont="1">
      <alignment readingOrder="0" shrinkToFit="0" vertical="bottom" wrapText="0"/>
    </xf>
    <xf borderId="0" fillId="7" fontId="20" numFmtId="0" xfId="0" applyAlignment="1" applyFont="1">
      <alignment horizontal="right" readingOrder="0" shrinkToFit="0" vertical="bottom" wrapText="0"/>
    </xf>
    <xf borderId="6" fillId="11" fontId="14" numFmtId="0" xfId="0" applyAlignment="1" applyBorder="1" applyFill="1" applyFont="1">
      <alignment horizontal="center" readingOrder="0" shrinkToFit="0" vertical="center" wrapText="1"/>
    </xf>
    <xf borderId="16" fillId="0" fontId="6" numFmtId="0" xfId="0" applyBorder="1" applyFont="1"/>
    <xf borderId="0" fillId="7" fontId="19" numFmtId="0" xfId="0" applyFont="1"/>
    <xf borderId="14" fillId="3" fontId="12" numFmtId="0" xfId="0" applyAlignment="1" applyBorder="1" applyFont="1">
      <alignment horizontal="center" shrinkToFit="0" vertical="center" wrapText="1"/>
    </xf>
    <xf borderId="14" fillId="3" fontId="21" numFmtId="0" xfId="0" applyAlignment="1" applyBorder="1" applyFont="1">
      <alignment horizontal="center" readingOrder="0" shrinkToFit="0" vertical="center" wrapText="1"/>
    </xf>
    <xf borderId="10" fillId="0" fontId="12" numFmtId="20" xfId="0" applyAlignment="1" applyBorder="1" applyFont="1" applyNumberFormat="1">
      <alignment horizontal="center" shrinkToFit="0" vertical="center" wrapText="1"/>
    </xf>
    <xf borderId="0" fillId="12" fontId="19" numFmtId="0" xfId="0" applyFill="1" applyFont="1"/>
    <xf borderId="10" fillId="4" fontId="12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center" vertical="center"/>
    </xf>
    <xf borderId="2" fillId="13" fontId="5" numFmtId="0" xfId="0" applyAlignment="1" applyBorder="1" applyFill="1" applyFont="1">
      <alignment horizontal="center" vertical="center"/>
    </xf>
    <xf borderId="0" fillId="0" fontId="23" numFmtId="0" xfId="0" applyAlignment="1" applyFont="1">
      <alignment horizontal="center" readingOrder="0"/>
    </xf>
    <xf borderId="0" fillId="0" fontId="23" numFmtId="0" xfId="0" applyAlignment="1" applyFont="1">
      <alignment horizontal="right" readingOrder="0"/>
    </xf>
    <xf borderId="6" fillId="14" fontId="8" numFmtId="0" xfId="0" applyAlignment="1" applyBorder="1" applyFill="1" applyFont="1">
      <alignment horizontal="center" shrinkToFit="0" vertical="center" wrapText="1"/>
    </xf>
    <xf borderId="6" fillId="14" fontId="9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readingOrder="0"/>
    </xf>
    <xf borderId="0" fillId="0" fontId="20" numFmtId="0" xfId="0" applyAlignment="1" applyFont="1">
      <alignment horizontal="right" readingOrder="0"/>
    </xf>
    <xf borderId="0" fillId="0" fontId="20" numFmtId="164" xfId="0" applyAlignment="1" applyFont="1" applyNumberFormat="1">
      <alignment horizontal="right" readingOrder="0"/>
    </xf>
    <xf borderId="7" fillId="15" fontId="12" numFmtId="0" xfId="0" applyAlignment="1" applyBorder="1" applyFill="1" applyFont="1">
      <alignment horizontal="center" shrinkToFit="0" vertical="center" wrapText="1"/>
    </xf>
    <xf borderId="7" fillId="0" fontId="12" numFmtId="20" xfId="0" applyAlignment="1" applyBorder="1" applyFont="1" applyNumberFormat="1">
      <alignment horizontal="center" shrinkToFit="0" vertical="center" wrapText="1"/>
    </xf>
    <xf borderId="6" fillId="0" fontId="12" numFmtId="0" xfId="0" applyAlignment="1" applyBorder="1" applyFont="1">
      <alignment horizontal="center"/>
    </xf>
    <xf borderId="6" fillId="9" fontId="12" numFmtId="0" xfId="0" applyAlignment="1" applyBorder="1" applyFont="1">
      <alignment horizontal="center"/>
    </xf>
    <xf borderId="6" fillId="0" fontId="24" numFmtId="0" xfId="0" applyAlignment="1" applyBorder="1" applyFont="1">
      <alignment horizontal="center" readingOrder="0"/>
    </xf>
    <xf borderId="6" fillId="9" fontId="17" numFmtId="0" xfId="0" applyAlignment="1" applyBorder="1" applyFont="1">
      <alignment horizontal="center"/>
    </xf>
    <xf borderId="0" fillId="0" fontId="20" numFmtId="0" xfId="0" applyAlignment="1" applyFont="1">
      <alignment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7" fillId="0" fontId="11" numFmtId="20" xfId="0" applyAlignment="1" applyBorder="1" applyFont="1" applyNumberFormat="1">
      <alignment horizontal="center" vertical="center"/>
    </xf>
    <xf borderId="0" fillId="0" fontId="19" numFmtId="0" xfId="0" applyFont="1"/>
    <xf borderId="17" fillId="10" fontId="25" numFmtId="0" xfId="0" applyAlignment="1" applyBorder="1" applyFont="1">
      <alignment horizontal="center" readingOrder="0"/>
    </xf>
    <xf borderId="18" fillId="0" fontId="6" numFmtId="0" xfId="0" applyBorder="1" applyFont="1"/>
    <xf borderId="19" fillId="0" fontId="6" numFmtId="0" xfId="0" applyBorder="1" applyFont="1"/>
    <xf borderId="0" fillId="0" fontId="26" numFmtId="0" xfId="0" applyFont="1"/>
    <xf borderId="20" fillId="16" fontId="27" numFmtId="0" xfId="0" applyAlignment="1" applyBorder="1" applyFill="1" applyFont="1">
      <alignment horizontal="center" vertical="center"/>
    </xf>
    <xf borderId="21" fillId="0" fontId="6" numFmtId="0" xfId="0" applyBorder="1" applyFont="1"/>
    <xf borderId="22" fillId="0" fontId="6" numFmtId="0" xfId="0" applyBorder="1" applyFont="1"/>
    <xf borderId="23" fillId="0" fontId="26" numFmtId="0" xfId="0" applyBorder="1" applyFont="1"/>
    <xf borderId="0" fillId="0" fontId="28" numFmtId="0" xfId="0" applyAlignment="1" applyFont="1">
      <alignment horizontal="center" readingOrder="0"/>
    </xf>
    <xf borderId="24" fillId="17" fontId="8" numFmtId="0" xfId="0" applyAlignment="1" applyBorder="1" applyFill="1" applyFont="1">
      <alignment horizontal="left" shrinkToFit="0" vertical="center" wrapText="1"/>
    </xf>
    <xf borderId="24" fillId="17" fontId="8" numFmtId="0" xfId="0" applyAlignment="1" applyBorder="1" applyFont="1">
      <alignment horizontal="center" shrinkToFit="0" vertical="center" wrapText="1"/>
    </xf>
    <xf borderId="24" fillId="17" fontId="9" numFmtId="0" xfId="0" applyAlignment="1" applyBorder="1" applyFont="1">
      <alignment horizontal="center" shrinkToFit="0" vertical="center" wrapText="1"/>
    </xf>
    <xf borderId="25" fillId="18" fontId="8" numFmtId="0" xfId="0" applyAlignment="1" applyBorder="1" applyFill="1" applyFont="1">
      <alignment horizontal="center" shrinkToFit="0" vertical="center" wrapText="1"/>
    </xf>
    <xf borderId="0" fillId="0" fontId="19" numFmtId="0" xfId="0" applyAlignment="1" applyFont="1">
      <alignment readingOrder="0"/>
    </xf>
    <xf borderId="14" fillId="0" fontId="4" numFmtId="0" xfId="0" applyAlignment="1" applyBorder="1" applyFont="1">
      <alignment horizontal="center" readingOrder="0" shrinkToFit="0" vertical="center" wrapText="1"/>
    </xf>
    <xf borderId="14" fillId="0" fontId="29" numFmtId="0" xfId="0" applyAlignment="1" applyBorder="1" applyFont="1">
      <alignment horizontal="center" readingOrder="1" shrinkToFit="0" vertical="center" wrapText="1"/>
    </xf>
    <xf borderId="14" fillId="0" fontId="29" numFmtId="0" xfId="0" applyAlignment="1" applyBorder="1" applyFont="1">
      <alignment horizontal="center" readingOrder="1" shrinkToFit="0" vertical="center" wrapText="1"/>
    </xf>
    <xf borderId="14" fillId="0" fontId="30" numFmtId="165" xfId="0" applyAlignment="1" applyBorder="1" applyFont="1" applyNumberFormat="1">
      <alignment horizontal="center" readingOrder="1" shrinkToFit="0" vertical="center" wrapText="1"/>
    </xf>
    <xf borderId="8" fillId="7" fontId="9" numFmtId="0" xfId="0" applyAlignment="1" applyBorder="1" applyFont="1">
      <alignment horizontal="center" readingOrder="1" shrinkToFit="0" vertical="center" wrapText="1"/>
    </xf>
    <xf borderId="8" fillId="18" fontId="29" numFmtId="166" xfId="0" applyAlignment="1" applyBorder="1" applyFont="1" applyNumberFormat="1">
      <alignment horizontal="center" readingOrder="1" shrinkToFit="0" vertical="center" wrapText="1"/>
    </xf>
    <xf borderId="8" fillId="19" fontId="8" numFmtId="0" xfId="0" applyAlignment="1" applyBorder="1" applyFill="1" applyFont="1">
      <alignment horizontal="center" readingOrder="1" shrinkToFit="0" vertical="center" wrapText="1"/>
    </xf>
    <xf borderId="14" fillId="19" fontId="31" numFmtId="20" xfId="0" applyAlignment="1" applyBorder="1" applyFont="1" applyNumberFormat="1">
      <alignment horizontal="center" readingOrder="1" shrinkToFit="0" vertical="center" wrapText="1"/>
    </xf>
    <xf borderId="8" fillId="7" fontId="32" numFmtId="0" xfId="0" applyAlignment="1" applyBorder="1" applyFont="1">
      <alignment horizontal="center" readingOrder="1" shrinkToFit="0" vertical="center" wrapText="1"/>
    </xf>
    <xf borderId="8" fillId="9" fontId="9" numFmtId="166" xfId="0" applyAlignment="1" applyBorder="1" applyFont="1" applyNumberFormat="1">
      <alignment horizontal="center" readingOrder="1" shrinkToFit="0" vertical="center" wrapText="1"/>
    </xf>
    <xf borderId="8" fillId="12" fontId="8" numFmtId="0" xfId="0" applyAlignment="1" applyBorder="1" applyFont="1">
      <alignment horizontal="center" readingOrder="1" shrinkToFit="0" vertical="center" wrapText="1"/>
    </xf>
    <xf borderId="8" fillId="12" fontId="32" numFmtId="20" xfId="0" applyAlignment="1" applyBorder="1" applyFont="1" applyNumberFormat="1">
      <alignment horizontal="center" readingOrder="1" shrinkToFit="0" vertical="center" wrapText="1"/>
    </xf>
    <xf borderId="8" fillId="4" fontId="9" numFmtId="166" xfId="0" applyAlignment="1" applyBorder="1" applyFont="1" applyNumberFormat="1">
      <alignment horizontal="center" readingOrder="1" shrinkToFit="0" vertical="center" wrapText="1"/>
    </xf>
    <xf borderId="8" fillId="4" fontId="8" numFmtId="0" xfId="0" applyAlignment="1" applyBorder="1" applyFont="1">
      <alignment horizontal="center" readingOrder="1" shrinkToFit="0" vertical="center" wrapText="1"/>
    </xf>
    <xf borderId="8" fillId="4" fontId="32" numFmtId="20" xfId="0" applyAlignment="1" applyBorder="1" applyFont="1" applyNumberFormat="1">
      <alignment horizontal="center" readingOrder="1" shrinkToFit="0" vertical="center" wrapText="1"/>
    </xf>
    <xf borderId="8" fillId="4" fontId="9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readingOrder="1" shrinkToFit="0" vertical="center" wrapText="1"/>
    </xf>
    <xf borderId="14" fillId="19" fontId="29" numFmtId="0" xfId="0" applyAlignment="1" applyBorder="1" applyFont="1">
      <alignment horizontal="center" readingOrder="1" shrinkToFit="0" vertical="center" wrapText="1"/>
    </xf>
    <xf borderId="8" fillId="19" fontId="8" numFmtId="0" xfId="0" applyAlignment="1" applyBorder="1" applyFont="1">
      <alignment horizontal="center" readingOrder="1" shrinkToFit="0" vertical="center" wrapText="1"/>
    </xf>
    <xf borderId="14" fillId="19" fontId="31" numFmtId="0" xfId="0" applyAlignment="1" applyBorder="1" applyFont="1">
      <alignment horizontal="center" readingOrder="1" shrinkToFit="0" vertical="center" wrapText="1"/>
    </xf>
    <xf borderId="8" fillId="19" fontId="32" numFmtId="0" xfId="0" applyAlignment="1" applyBorder="1" applyFont="1">
      <alignment horizontal="center" readingOrder="1" shrinkToFit="0" vertical="center" wrapText="1"/>
    </xf>
    <xf borderId="8" fillId="12" fontId="9" numFmtId="166" xfId="0" applyAlignment="1" applyBorder="1" applyFont="1" applyNumberFormat="1">
      <alignment horizontal="center" readingOrder="1" shrinkToFit="0" vertical="center" wrapText="1"/>
    </xf>
    <xf borderId="0" fillId="0" fontId="33" numFmtId="0" xfId="0" applyAlignment="1" applyFont="1">
      <alignment readingOrder="0"/>
    </xf>
    <xf borderId="0" fillId="0" fontId="33" numFmtId="0" xfId="0" applyFont="1"/>
    <xf borderId="14" fillId="19" fontId="29" numFmtId="0" xfId="0" applyAlignment="1" applyBorder="1" applyFont="1">
      <alignment horizontal="center" readingOrder="1" shrinkToFit="0" vertical="center" wrapText="1"/>
    </xf>
    <xf borderId="0" fillId="0" fontId="16" numFmtId="0" xfId="0" applyAlignment="1" applyFont="1">
      <alignment horizontal="center" readingOrder="0"/>
    </xf>
    <xf borderId="17" fillId="10" fontId="34" numFmtId="0" xfId="0" applyAlignment="1" applyBorder="1" applyFont="1">
      <alignment horizontal="center" readingOrder="0"/>
    </xf>
    <xf borderId="20" fillId="20" fontId="27" numFmtId="0" xfId="0" applyAlignment="1" applyBorder="1" applyFill="1" applyFont="1">
      <alignment horizontal="center" vertical="center"/>
    </xf>
    <xf borderId="20" fillId="20" fontId="27" numFmtId="0" xfId="0" applyAlignment="1" applyBorder="1" applyFont="1">
      <alignment horizontal="center" readingOrder="0" vertical="center"/>
    </xf>
    <xf borderId="0" fillId="0" fontId="0" numFmtId="0" xfId="0" applyAlignment="1" applyFont="1">
      <alignment readingOrder="0"/>
    </xf>
    <xf borderId="0" fillId="0" fontId="0" numFmtId="0" xfId="0" applyFont="1"/>
    <xf borderId="26" fillId="11" fontId="8" numFmtId="0" xfId="0" applyAlignment="1" applyBorder="1" applyFont="1">
      <alignment horizontal="left" shrinkToFit="0" vertical="center" wrapText="1"/>
    </xf>
    <xf borderId="26" fillId="11" fontId="8" numFmtId="0" xfId="0" applyAlignment="1" applyBorder="1" applyFont="1">
      <alignment horizontal="center" shrinkToFit="0" vertical="center" wrapText="1"/>
    </xf>
    <xf borderId="26" fillId="11" fontId="9" numFmtId="0" xfId="0" applyAlignment="1" applyBorder="1" applyFont="1">
      <alignment horizontal="center" shrinkToFit="0" vertical="center" wrapText="1"/>
    </xf>
    <xf borderId="27" fillId="18" fontId="8" numFmtId="0" xfId="0" applyAlignment="1" applyBorder="1" applyFont="1">
      <alignment horizontal="center" shrinkToFit="0" vertical="center" wrapText="1"/>
    </xf>
    <xf borderId="0" fillId="0" fontId="0" numFmtId="0" xfId="0" applyAlignment="1" applyFont="1">
      <alignment horizontal="center" readingOrder="0"/>
    </xf>
    <xf borderId="14" fillId="17" fontId="4" numFmtId="0" xfId="0" applyAlignment="1" applyBorder="1" applyFont="1">
      <alignment horizontal="center" readingOrder="0" shrinkToFit="0" vertical="center" wrapText="1"/>
    </xf>
    <xf borderId="8" fillId="7" fontId="35" numFmtId="0" xfId="0" applyAlignment="1" applyBorder="1" applyFont="1">
      <alignment horizontal="center" readingOrder="1" shrinkToFit="0" vertical="center" wrapText="1"/>
    </xf>
    <xf borderId="8" fillId="7" fontId="36" numFmtId="0" xfId="0" applyAlignment="1" applyBorder="1" applyFont="1">
      <alignment horizontal="center" readingOrder="1" shrinkToFit="0" vertical="center" wrapText="1"/>
    </xf>
    <xf borderId="8" fillId="18" fontId="20" numFmtId="166" xfId="0" applyAlignment="1" applyBorder="1" applyFont="1" applyNumberFormat="1">
      <alignment horizontal="center" readingOrder="1" shrinkToFit="0" vertical="center" wrapText="1"/>
    </xf>
    <xf borderId="8" fillId="0" fontId="35" numFmtId="0" xfId="0" applyAlignment="1" applyBorder="1" applyFont="1">
      <alignment horizontal="center" readingOrder="1" shrinkToFit="0" vertical="center" wrapText="1"/>
    </xf>
    <xf borderId="8" fillId="0" fontId="36" numFmtId="0" xfId="0" applyAlignment="1" applyBorder="1" applyFont="1">
      <alignment horizontal="center" readingOrder="1" shrinkToFit="0" vertical="center" wrapText="1"/>
    </xf>
    <xf borderId="8" fillId="7" fontId="37" numFmtId="0" xfId="0" applyAlignment="1" applyBorder="1" applyFont="1">
      <alignment horizontal="center" readingOrder="1" shrinkToFit="0" vertical="center" wrapText="1"/>
    </xf>
    <xf borderId="8" fillId="18" fontId="23" numFmtId="166" xfId="0" applyAlignment="1" applyBorder="1" applyFont="1" applyNumberFormat="1">
      <alignment horizontal="center" readingOrder="1" shrinkToFit="0" vertical="center" wrapText="1"/>
    </xf>
    <xf borderId="8" fillId="0" fontId="37" numFmtId="0" xfId="0" applyAlignment="1" applyBorder="1" applyFont="1">
      <alignment horizontal="center" readingOrder="1" shrinkToFit="0" vertical="center" wrapText="1"/>
    </xf>
    <xf borderId="0" fillId="6" fontId="23" numFmtId="0" xfId="0" applyAlignment="1" applyFont="1">
      <alignment horizontal="center" readingOrder="0" shrinkToFit="0" vertical="center" wrapText="1"/>
    </xf>
    <xf borderId="0" fillId="18" fontId="38" numFmtId="0" xfId="0" applyAlignment="1" applyFont="1">
      <alignment horizontal="center" shrinkToFit="0" vertical="center" wrapText="1"/>
    </xf>
    <xf borderId="0" fillId="6" fontId="38" numFmtId="0" xfId="0" applyAlignment="1" applyFont="1">
      <alignment horizontal="center" readingOrder="0" shrinkToFit="0" vertical="center" wrapText="1"/>
    </xf>
    <xf borderId="28" fillId="11" fontId="8" numFmtId="0" xfId="0" applyAlignment="1" applyBorder="1" applyFont="1">
      <alignment horizontal="left" shrinkToFit="0" vertical="center" wrapText="1"/>
    </xf>
    <xf borderId="26" fillId="11" fontId="38" numFmtId="0" xfId="0" applyAlignment="1" applyBorder="1" applyFont="1">
      <alignment horizontal="center" shrinkToFit="0" vertical="center" wrapText="1"/>
    </xf>
    <xf borderId="28" fillId="11" fontId="38" numFmtId="0" xfId="0" applyAlignment="1" applyBorder="1" applyFont="1">
      <alignment horizontal="center" shrinkToFit="0" vertical="center" wrapText="1"/>
    </xf>
    <xf borderId="29" fillId="18" fontId="38" numFmtId="0" xfId="0" applyAlignment="1" applyBorder="1" applyFont="1">
      <alignment horizontal="center" shrinkToFit="0" vertical="center" wrapText="1"/>
    </xf>
    <xf borderId="14" fillId="21" fontId="4" numFmtId="0" xfId="0" applyAlignment="1" applyBorder="1" applyFill="1" applyFont="1">
      <alignment horizontal="center" readingOrder="0" shrinkToFit="0" vertical="center" wrapText="1"/>
    </xf>
    <xf borderId="8" fillId="7" fontId="39" numFmtId="0" xfId="0" applyAlignment="1" applyBorder="1" applyFont="1">
      <alignment horizontal="center" readingOrder="1" shrinkToFit="0" vertical="center" wrapText="1"/>
    </xf>
    <xf borderId="8" fillId="0" fontId="40" numFmtId="0" xfId="0" applyAlignment="1" applyBorder="1" applyFont="1">
      <alignment horizontal="center" readingOrder="1" shrinkToFit="0" vertical="center" wrapText="1"/>
    </xf>
    <xf borderId="8" fillId="0" fontId="39" numFmtId="0" xfId="0" applyAlignment="1" applyBorder="1" applyFont="1">
      <alignment horizontal="center" readingOrder="1" shrinkToFit="0" vertical="center" wrapText="1"/>
    </xf>
    <xf borderId="8" fillId="7" fontId="40" numFmtId="0" xfId="0" applyAlignment="1" applyBorder="1" applyFont="1">
      <alignment horizontal="center" readingOrder="1" shrinkToFit="0" vertical="center" wrapText="1"/>
    </xf>
    <xf borderId="0" fillId="0" fontId="0" numFmtId="0" xfId="0" applyAlignment="1" applyFont="1">
      <alignment readingOrder="0" shrinkToFit="0" wrapText="1"/>
    </xf>
    <xf borderId="8" fillId="7" fontId="41" numFmtId="0" xfId="0" applyAlignment="1" applyBorder="1" applyFont="1">
      <alignment horizontal="center" readingOrder="1" shrinkToFit="0" vertical="center" wrapText="1"/>
    </xf>
    <xf borderId="8" fillId="0" fontId="41" numFmtId="0" xfId="0" applyAlignment="1" applyBorder="1" applyFont="1">
      <alignment horizontal="center" readingOrder="1" shrinkToFit="0" vertical="center" wrapText="1"/>
    </xf>
    <xf borderId="0" fillId="8" fontId="31" numFmtId="0" xfId="0" applyAlignment="1" applyFont="1">
      <alignment horizontal="center" readingOrder="0" shrinkToFit="0" vertical="center" wrapText="1"/>
    </xf>
    <xf borderId="0" fillId="18" fontId="8" numFmtId="0" xfId="0" applyAlignment="1" applyFont="1">
      <alignment horizontal="center" shrinkToFit="0" vertical="center" wrapText="1"/>
    </xf>
    <xf borderId="0" fillId="8" fontId="8" numFmtId="0" xfId="0" applyAlignment="1" applyFont="1">
      <alignment horizontal="center" readingOrder="0" shrinkToFit="0" vertical="center" wrapText="1"/>
    </xf>
    <xf borderId="0" fillId="0" fontId="42" numFmtId="0" xfId="0" applyAlignment="1" applyFont="1">
      <alignment readingOrder="0"/>
    </xf>
    <xf borderId="0" fillId="0" fontId="42" numFmtId="0" xfId="0" applyFont="1"/>
    <xf borderId="17" fillId="10" fontId="43" numFmtId="0" xfId="0" applyAlignment="1" applyBorder="1" applyFont="1">
      <alignment horizontal="center" readingOrder="0"/>
    </xf>
    <xf borderId="20" fillId="22" fontId="27" numFmtId="0" xfId="0" applyAlignment="1" applyBorder="1" applyFill="1" applyFont="1">
      <alignment horizontal="center" vertical="center"/>
    </xf>
    <xf borderId="24" fillId="23" fontId="8" numFmtId="0" xfId="0" applyAlignment="1" applyBorder="1" applyFill="1" applyFont="1">
      <alignment horizontal="left" shrinkToFit="0" vertical="center" wrapText="1"/>
    </xf>
    <xf borderId="24" fillId="23" fontId="8" numFmtId="0" xfId="0" applyAlignment="1" applyBorder="1" applyFont="1">
      <alignment horizontal="center" shrinkToFit="0" vertical="center" wrapText="1"/>
    </xf>
    <xf borderId="24" fillId="23" fontId="9" numFmtId="0" xfId="0" applyAlignment="1" applyBorder="1" applyFont="1">
      <alignment horizontal="center" shrinkToFit="0" vertical="center" wrapText="1"/>
    </xf>
    <xf borderId="26" fillId="24" fontId="8" numFmtId="0" xfId="0" applyAlignment="1" applyBorder="1" applyFill="1" applyFont="1">
      <alignment horizontal="center" shrinkToFit="0" vertical="center" wrapText="1"/>
    </xf>
    <xf borderId="24" fillId="24" fontId="8" numFmtId="0" xfId="0" applyAlignment="1" applyBorder="1" applyFont="1">
      <alignment horizontal="center" shrinkToFit="0" vertical="center" wrapText="1"/>
    </xf>
    <xf borderId="14" fillId="0" fontId="30" numFmtId="167" xfId="0" applyAlignment="1" applyBorder="1" applyFont="1" applyNumberFormat="1">
      <alignment horizontal="center" readingOrder="1" shrinkToFit="0" vertical="center" wrapText="1"/>
    </xf>
    <xf borderId="14" fillId="0" fontId="30" numFmtId="0" xfId="0" applyAlignment="1" applyBorder="1" applyFont="1">
      <alignment horizontal="center" readingOrder="1" shrinkToFit="0" vertical="center" wrapText="1"/>
    </xf>
    <xf borderId="8" fillId="0" fontId="30" numFmtId="0" xfId="0" applyAlignment="1" applyBorder="1" applyFont="1">
      <alignment horizontal="center" readingOrder="1" shrinkToFit="0" vertical="center" wrapText="1"/>
    </xf>
    <xf borderId="8" fillId="7" fontId="9" numFmtId="166" xfId="0" applyAlignment="1" applyBorder="1" applyFont="1" applyNumberFormat="1">
      <alignment horizontal="center" readingOrder="1" shrinkToFit="0" vertical="center" wrapText="1"/>
    </xf>
    <xf borderId="8" fillId="8" fontId="9" numFmtId="0" xfId="0" applyAlignment="1" applyBorder="1" applyFont="1">
      <alignment horizontal="center" readingOrder="1" shrinkToFit="0" vertical="center" wrapText="1"/>
    </xf>
    <xf borderId="26" fillId="23" fontId="8" numFmtId="0" xfId="0" applyAlignment="1" applyBorder="1" applyFont="1">
      <alignment horizontal="left" shrinkToFit="0" vertical="center" wrapText="1"/>
    </xf>
    <xf borderId="26" fillId="23" fontId="9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readingOrder="0" shrinkToFit="0" vertical="center" wrapText="1"/>
    </xf>
    <xf borderId="16" fillId="0" fontId="29" numFmtId="0" xfId="0" applyAlignment="1" applyBorder="1" applyFont="1">
      <alignment horizontal="center" readingOrder="1" shrinkToFit="0" vertical="center" wrapText="1"/>
    </xf>
    <xf borderId="8" fillId="6" fontId="9" numFmtId="0" xfId="0" applyAlignment="1" applyBorder="1" applyFont="1">
      <alignment horizontal="center" readingOrder="1" shrinkToFit="0" vertical="center" wrapText="1"/>
    </xf>
    <xf borderId="0" fillId="25" fontId="16" numFmtId="0" xfId="0" applyAlignment="1" applyFill="1" applyFont="1">
      <alignment horizontal="center" readingOrder="0"/>
    </xf>
    <xf borderId="30" fillId="25" fontId="16" numFmtId="0" xfId="0" applyAlignment="1" applyBorder="1" applyFont="1">
      <alignment horizontal="center" readingOrder="0"/>
    </xf>
    <xf borderId="31" fillId="0" fontId="6" numFmtId="0" xfId="0" applyBorder="1" applyFont="1"/>
    <xf borderId="32" fillId="0" fontId="6" numFmtId="0" xfId="0" applyBorder="1" applyFont="1"/>
    <xf borderId="0" fillId="15" fontId="44" numFmtId="0" xfId="0" applyAlignment="1" applyFont="1">
      <alignment horizontal="center" readingOrder="0"/>
    </xf>
    <xf borderId="0" fillId="15" fontId="26" numFmtId="0" xfId="0" applyFont="1"/>
    <xf borderId="20" fillId="15" fontId="27" numFmtId="0" xfId="0" applyAlignment="1" applyBorder="1" applyFont="1">
      <alignment horizontal="center" vertical="center"/>
    </xf>
    <xf borderId="23" fillId="15" fontId="26" numFmtId="0" xfId="0" applyBorder="1" applyFont="1"/>
    <xf borderId="24" fillId="15" fontId="8" numFmtId="0" xfId="0" applyAlignment="1" applyBorder="1" applyFont="1">
      <alignment horizontal="left" shrinkToFit="0" vertical="center" wrapText="1"/>
    </xf>
    <xf borderId="24" fillId="15" fontId="8" numFmtId="0" xfId="0" applyAlignment="1" applyBorder="1" applyFont="1">
      <alignment horizontal="center" shrinkToFit="0" vertical="center" wrapText="1"/>
    </xf>
    <xf borderId="24" fillId="15" fontId="9" numFmtId="0" xfId="0" applyAlignment="1" applyBorder="1" applyFont="1">
      <alignment horizontal="center" shrinkToFit="0" vertical="center" wrapText="1"/>
    </xf>
    <xf borderId="25" fillId="15" fontId="8" numFmtId="0" xfId="0" applyAlignment="1" applyBorder="1" applyFont="1">
      <alignment horizontal="center" shrinkToFit="0" vertical="center" wrapText="1"/>
    </xf>
    <xf borderId="26" fillId="15" fontId="8" numFmtId="0" xfId="0" applyAlignment="1" applyBorder="1" applyFont="1">
      <alignment horizontal="center" shrinkToFit="0" vertical="center" wrapText="1"/>
    </xf>
    <xf borderId="14" fillId="15" fontId="4" numFmtId="0" xfId="0" applyAlignment="1" applyBorder="1" applyFont="1">
      <alignment horizontal="center" readingOrder="0" shrinkToFit="0" vertical="center" wrapText="1"/>
    </xf>
    <xf borderId="14" fillId="15" fontId="29" numFmtId="0" xfId="0" applyAlignment="1" applyBorder="1" applyFont="1">
      <alignment horizontal="center" readingOrder="1" shrinkToFit="0" vertical="center" wrapText="1"/>
    </xf>
    <xf borderId="14" fillId="15" fontId="30" numFmtId="167" xfId="0" applyAlignment="1" applyBorder="1" applyFont="1" applyNumberFormat="1">
      <alignment horizontal="center" readingOrder="1" shrinkToFit="0" vertical="center" wrapText="1"/>
    </xf>
    <xf borderId="8" fillId="15" fontId="9" numFmtId="0" xfId="0" applyAlignment="1" applyBorder="1" applyFont="1">
      <alignment horizontal="center" readingOrder="1" shrinkToFit="0" vertical="center" wrapText="1"/>
    </xf>
    <xf borderId="8" fillId="15" fontId="29" numFmtId="166" xfId="0" applyAlignment="1" applyBorder="1" applyFont="1" applyNumberFormat="1">
      <alignment horizontal="center" readingOrder="1" shrinkToFit="0" vertical="center" wrapText="1"/>
    </xf>
    <xf borderId="14" fillId="15" fontId="30" numFmtId="0" xfId="0" applyAlignment="1" applyBorder="1" applyFont="1">
      <alignment horizontal="center" readingOrder="1" shrinkToFit="0" vertical="center" wrapText="1"/>
    </xf>
    <xf borderId="8" fillId="15" fontId="9" numFmtId="166" xfId="0" applyAlignment="1" applyBorder="1" applyFont="1" applyNumberFormat="1">
      <alignment horizontal="center" readingOrder="1" shrinkToFit="0" vertical="center" wrapText="1"/>
    </xf>
    <xf borderId="8" fillId="15" fontId="9" numFmtId="0" xfId="0" applyAlignment="1" applyBorder="1" applyFont="1">
      <alignment horizontal="center" shrinkToFit="0" vertical="center" wrapText="1"/>
    </xf>
    <xf borderId="28" fillId="15" fontId="8" numFmtId="0" xfId="0" applyAlignment="1" applyBorder="1" applyFont="1">
      <alignment horizontal="center" shrinkToFit="0" vertical="center" wrapText="1"/>
    </xf>
    <xf borderId="0" fillId="0" fontId="45" numFmtId="0" xfId="0" applyAlignment="1" applyFont="1">
      <alignment readingOrder="0"/>
    </xf>
    <xf borderId="0" fillId="0" fontId="46" numFmtId="0" xfId="0" applyAlignment="1" applyFont="1">
      <alignment readingOrder="0"/>
    </xf>
    <xf borderId="0" fillId="15" fontId="19" numFmtId="0" xfId="0" applyFont="1"/>
    <xf borderId="0" fillId="15" fontId="47" numFmtId="0" xfId="0" applyAlignment="1" applyFont="1">
      <alignment horizontal="center" readingOrder="0"/>
    </xf>
    <xf borderId="0" fillId="10" fontId="48" numFmtId="0" xfId="0" applyAlignment="1" applyFont="1">
      <alignment horizontal="center" readingOrder="0"/>
    </xf>
    <xf borderId="17" fillId="10" fontId="48" numFmtId="0" xfId="0" applyAlignment="1" applyBorder="1" applyFont="1">
      <alignment horizontal="center" readingOrder="0"/>
    </xf>
    <xf borderId="20" fillId="26" fontId="27" numFmtId="0" xfId="0" applyAlignment="1" applyBorder="1" applyFill="1" applyFont="1">
      <alignment horizontal="center" vertical="center"/>
    </xf>
    <xf borderId="24" fillId="27" fontId="8" numFmtId="0" xfId="0" applyAlignment="1" applyBorder="1" applyFill="1" applyFont="1">
      <alignment horizontal="left" shrinkToFit="0" vertical="center" wrapText="1"/>
    </xf>
    <xf borderId="24" fillId="27" fontId="8" numFmtId="0" xfId="0" applyAlignment="1" applyBorder="1" applyFont="1">
      <alignment horizontal="center" shrinkToFit="0" vertical="center" wrapText="1"/>
    </xf>
    <xf borderId="24" fillId="27" fontId="9" numFmtId="0" xfId="0" applyAlignment="1" applyBorder="1" applyFont="1">
      <alignment horizontal="center" shrinkToFit="0" vertical="center" wrapText="1"/>
    </xf>
    <xf borderId="26" fillId="27" fontId="8" numFmtId="0" xfId="0" applyAlignment="1" applyBorder="1" applyFont="1">
      <alignment horizontal="center" shrinkToFit="0" vertical="center" wrapText="1"/>
    </xf>
    <xf borderId="14" fillId="0" fontId="30" numFmtId="168" xfId="0" applyAlignment="1" applyBorder="1" applyFont="1" applyNumberFormat="1">
      <alignment horizontal="center" readingOrder="1" shrinkToFit="0" vertical="center" wrapText="1"/>
    </xf>
    <xf borderId="15" fillId="0" fontId="29" numFmtId="0" xfId="0" applyAlignment="1" applyBorder="1" applyFont="1">
      <alignment horizontal="center" readingOrder="1" shrinkToFit="0" vertical="center" wrapText="1"/>
    </xf>
    <xf borderId="8" fillId="9" fontId="9" numFmtId="0" xfId="0" applyAlignment="1" applyBorder="1" applyFont="1">
      <alignment horizontal="center" readingOrder="1" shrinkToFit="0" vertical="center" wrapText="1"/>
    </xf>
    <xf borderId="16" fillId="0" fontId="31" numFmtId="0" xfId="0" applyAlignment="1" applyBorder="1" applyFont="1">
      <alignment horizontal="center" readingOrder="1" shrinkToFit="0" vertical="center" wrapText="1"/>
    </xf>
    <xf borderId="8" fillId="0" fontId="29" numFmtId="0" xfId="0" applyAlignment="1" applyBorder="1" applyFont="1">
      <alignment horizontal="center" readingOrder="1" shrinkToFit="0" vertical="center" wrapText="1"/>
    </xf>
    <xf borderId="14" fillId="0" fontId="9" numFmtId="0" xfId="0" applyAlignment="1" applyBorder="1" applyFont="1">
      <alignment horizontal="center" readingOrder="1" shrinkToFit="0" vertical="center" wrapText="1"/>
    </xf>
    <xf borderId="0" fillId="10" fontId="49" numFmtId="0" xfId="0" applyAlignment="1" applyFont="1">
      <alignment horizontal="center" readingOrder="0"/>
    </xf>
    <xf borderId="20" fillId="28" fontId="27" numFmtId="0" xfId="0" applyAlignment="1" applyBorder="1" applyFill="1" applyFont="1">
      <alignment horizontal="center" vertical="center"/>
    </xf>
    <xf borderId="24" fillId="29" fontId="8" numFmtId="0" xfId="0" applyAlignment="1" applyBorder="1" applyFill="1" applyFont="1">
      <alignment horizontal="left" shrinkToFit="0" vertical="center" wrapText="1"/>
    </xf>
    <xf borderId="24" fillId="29" fontId="8" numFmtId="0" xfId="0" applyAlignment="1" applyBorder="1" applyFont="1">
      <alignment horizontal="center" shrinkToFit="0" vertical="center" wrapText="1"/>
    </xf>
    <xf borderId="24" fillId="29" fontId="9" numFmtId="0" xfId="0" applyAlignment="1" applyBorder="1" applyFont="1">
      <alignment horizontal="center" shrinkToFit="0" vertical="center" wrapText="1"/>
    </xf>
    <xf borderId="26" fillId="29" fontId="8" numFmtId="0" xfId="0" applyAlignment="1" applyBorder="1" applyFont="1">
      <alignment horizontal="center" shrinkToFit="0" vertical="center" wrapText="1"/>
    </xf>
    <xf borderId="0" fillId="28" fontId="50" numFmtId="0" xfId="0" applyAlignment="1" applyFont="1">
      <alignment horizontal="center" readingOrder="0"/>
    </xf>
    <xf borderId="20" fillId="25" fontId="27" numFmtId="0" xfId="0" applyAlignment="1" applyBorder="1" applyFont="1">
      <alignment horizontal="center" vertical="center"/>
    </xf>
    <xf borderId="26" fillId="23" fontId="8" numFmtId="0" xfId="0" applyAlignment="1" applyBorder="1" applyFont="1">
      <alignment horizontal="center" shrinkToFit="0" vertical="center" wrapText="1"/>
    </xf>
    <xf borderId="15" fillId="0" fontId="31" numFmtId="0" xfId="0" applyAlignment="1" applyBorder="1" applyFont="1">
      <alignment horizontal="center" readingOrder="1" shrinkToFit="0" vertical="center" wrapText="1"/>
    </xf>
    <xf borderId="14" fillId="7" fontId="9" numFmtId="0" xfId="0" applyAlignment="1" applyBorder="1" applyFont="1">
      <alignment horizontal="center" readingOrder="0" shrinkToFit="0" vertical="center" wrapText="1"/>
    </xf>
    <xf borderId="16" fillId="9" fontId="31" numFmtId="0" xfId="0" applyAlignment="1" applyBorder="1" applyFont="1">
      <alignment horizontal="center" readingOrder="1" shrinkToFit="0" vertical="center" wrapText="1"/>
    </xf>
    <xf borderId="25" fillId="30" fontId="8" numFmtId="0" xfId="0" applyAlignment="1" applyBorder="1" applyFill="1" applyFont="1">
      <alignment horizontal="center" shrinkToFit="0" vertical="center" wrapText="1"/>
    </xf>
    <xf borderId="8" fillId="30" fontId="29" numFmtId="166" xfId="0" applyAlignment="1" applyBorder="1" applyFont="1" applyNumberFormat="1">
      <alignment horizontal="center" readingOrder="1" shrinkToFit="0" vertical="center" wrapText="1"/>
    </xf>
    <xf borderId="8" fillId="0" fontId="31" numFmtId="0" xfId="0" applyAlignment="1" applyBorder="1" applyFont="1">
      <alignment horizontal="center" readingOrder="1" shrinkToFit="0" vertical="center" wrapText="1"/>
    </xf>
    <xf borderId="15" fillId="7" fontId="9" numFmtId="0" xfId="0" applyAlignment="1" applyBorder="1" applyFont="1">
      <alignment horizontal="center" readingOrder="0" shrinkToFit="0" vertical="center" wrapText="1"/>
    </xf>
    <xf borderId="0" fillId="30" fontId="19" numFmtId="0" xfId="0" applyFont="1"/>
    <xf borderId="0" fillId="7" fontId="51" numFmtId="0" xfId="0" applyAlignment="1" applyFont="1">
      <alignment horizontal="center" readingOrder="0"/>
    </xf>
    <xf borderId="20" fillId="31" fontId="27" numFmtId="0" xfId="0" applyAlignment="1" applyBorder="1" applyFill="1" applyFont="1">
      <alignment horizontal="center" vertical="center"/>
    </xf>
    <xf borderId="24" fillId="28" fontId="8" numFmtId="0" xfId="0" applyAlignment="1" applyBorder="1" applyFont="1">
      <alignment horizontal="left" shrinkToFit="0" vertical="center" wrapText="1"/>
    </xf>
    <xf borderId="24" fillId="28" fontId="8" numFmtId="0" xfId="0" applyAlignment="1" applyBorder="1" applyFont="1">
      <alignment horizontal="center" shrinkToFit="0" vertical="center" wrapText="1"/>
    </xf>
    <xf borderId="24" fillId="28" fontId="9" numFmtId="0" xfId="0" applyAlignment="1" applyBorder="1" applyFont="1">
      <alignment horizontal="center" shrinkToFit="0" vertical="center" wrapText="1"/>
    </xf>
    <xf borderId="26" fillId="28" fontId="8" numFmtId="0" xfId="0" applyAlignment="1" applyBorder="1" applyFont="1">
      <alignment horizontal="center" shrinkToFit="0" vertical="center" wrapText="1"/>
    </xf>
    <xf borderId="14" fillId="23" fontId="29" numFmtId="0" xfId="0" applyAlignment="1" applyBorder="1" applyFont="1">
      <alignment horizontal="center" readingOrder="1" shrinkToFit="0" vertical="center" wrapText="1"/>
    </xf>
    <xf borderId="8" fillId="32" fontId="9" numFmtId="0" xfId="0" applyAlignment="1" applyBorder="1" applyFill="1" applyFont="1">
      <alignment horizontal="center" readingOrder="1" shrinkToFit="0" vertical="center" wrapText="1"/>
    </xf>
    <xf borderId="8" fillId="33" fontId="9" numFmtId="0" xfId="0" applyAlignment="1" applyBorder="1" applyFill="1" applyFont="1">
      <alignment horizontal="center" readingOrder="1" shrinkToFit="0" vertical="center" wrapText="1"/>
    </xf>
    <xf borderId="8" fillId="12" fontId="29" numFmtId="0" xfId="0" applyAlignment="1" applyBorder="1" applyFont="1">
      <alignment horizontal="center" readingOrder="1" shrinkToFit="0" vertical="center" wrapText="1"/>
    </xf>
    <xf borderId="8" fillId="12" fontId="30" numFmtId="168" xfId="0" applyAlignment="1" applyBorder="1" applyFont="1" applyNumberFormat="1">
      <alignment horizontal="center" readingOrder="1" shrinkToFit="0" vertical="center" wrapText="1"/>
    </xf>
    <xf borderId="8" fillId="12" fontId="9" numFmtId="0" xfId="0" applyAlignment="1" applyBorder="1" applyFont="1">
      <alignment horizontal="center" readingOrder="1" shrinkToFit="0" vertical="center" wrapText="1"/>
    </xf>
    <xf borderId="14" fillId="34" fontId="29" numFmtId="0" xfId="0" applyAlignment="1" applyBorder="1" applyFill="1" applyFont="1">
      <alignment horizontal="center" readingOrder="1" shrinkToFit="0" vertical="center" wrapText="1"/>
    </xf>
    <xf borderId="0" fillId="29" fontId="52" numFmtId="0" xfId="0" applyAlignment="1" applyFont="1">
      <alignment horizontal="center" readingOrder="0" vertical="center"/>
    </xf>
    <xf borderId="0" fillId="10" fontId="53" numFmtId="0" xfId="0" applyAlignment="1" applyFont="1">
      <alignment horizontal="center" readingOrder="0"/>
    </xf>
    <xf borderId="33" fillId="35" fontId="27" numFmtId="0" xfId="0" applyAlignment="1" applyBorder="1" applyFill="1" applyFont="1">
      <alignment horizontal="center" vertical="center"/>
    </xf>
    <xf borderId="34" fillId="0" fontId="6" numFmtId="0" xfId="0" applyBorder="1" applyFont="1"/>
    <xf borderId="35" fillId="0" fontId="6" numFmtId="0" xfId="0" applyBorder="1" applyFont="1"/>
    <xf borderId="36" fillId="36" fontId="8" numFmtId="0" xfId="0" applyAlignment="1" applyBorder="1" applyFill="1" applyFont="1">
      <alignment horizontal="left" shrinkToFit="0" vertical="center" wrapText="1"/>
    </xf>
    <xf borderId="36" fillId="36" fontId="8" numFmtId="0" xfId="0" applyAlignment="1" applyBorder="1" applyFont="1">
      <alignment horizontal="center" shrinkToFit="0" vertical="center" wrapText="1"/>
    </xf>
    <xf borderId="36" fillId="36" fontId="9" numFmtId="0" xfId="0" applyAlignment="1" applyBorder="1" applyFont="1">
      <alignment horizontal="center" shrinkToFit="0" vertical="center" wrapText="1"/>
    </xf>
    <xf borderId="36" fillId="18" fontId="8" numFmtId="0" xfId="0" applyAlignment="1" applyBorder="1" applyFont="1">
      <alignment horizontal="center" shrinkToFit="0" vertical="center" wrapText="1"/>
    </xf>
    <xf borderId="37" fillId="0" fontId="4" numFmtId="0" xfId="0" applyAlignment="1" applyBorder="1" applyFont="1">
      <alignment horizontal="center" readingOrder="0" shrinkToFit="0" vertical="center" wrapText="1"/>
    </xf>
    <xf borderId="37" fillId="8" fontId="29" numFmtId="0" xfId="0" applyAlignment="1" applyBorder="1" applyFont="1">
      <alignment horizontal="center" readingOrder="1" shrinkToFit="0" vertical="center" wrapText="1"/>
    </xf>
    <xf borderId="37" fillId="0" fontId="29" numFmtId="0" xfId="0" applyAlignment="1" applyBorder="1" applyFont="1">
      <alignment horizontal="center" readingOrder="1" shrinkToFit="0" vertical="center" wrapText="1"/>
    </xf>
    <xf borderId="37" fillId="0" fontId="30" numFmtId="165" xfId="0" applyAlignment="1" applyBorder="1" applyFont="1" applyNumberFormat="1">
      <alignment horizontal="center" readingOrder="1" shrinkToFit="0" vertical="center" wrapText="1"/>
    </xf>
    <xf borderId="36" fillId="17" fontId="9" numFmtId="0" xfId="0" applyAlignment="1" applyBorder="1" applyFont="1">
      <alignment horizontal="center" readingOrder="1" shrinkToFit="0" vertical="center" wrapText="1"/>
    </xf>
    <xf borderId="36" fillId="18" fontId="29" numFmtId="166" xfId="0" applyAlignment="1" applyBorder="1" applyFont="1" applyNumberFormat="1">
      <alignment horizontal="center" readingOrder="1" shrinkToFit="0" vertical="center" wrapText="1"/>
    </xf>
    <xf borderId="37" fillId="7" fontId="29" numFmtId="0" xfId="0" applyAlignment="1" applyBorder="1" applyFont="1">
      <alignment horizontal="center" readingOrder="1" shrinkToFit="0" vertical="center" wrapText="1"/>
    </xf>
    <xf borderId="37" fillId="7" fontId="30" numFmtId="165" xfId="0" applyAlignment="1" applyBorder="1" applyFont="1" applyNumberFormat="1">
      <alignment horizontal="center" readingOrder="1" shrinkToFit="0" vertical="center" wrapText="1"/>
    </xf>
    <xf borderId="37" fillId="7" fontId="9" numFmtId="0" xfId="0" applyAlignment="1" applyBorder="1" applyFont="1">
      <alignment horizontal="center" readingOrder="1" shrinkToFit="0" vertical="center" wrapText="1"/>
    </xf>
    <xf borderId="38" fillId="0" fontId="6" numFmtId="0" xfId="0" applyBorder="1" applyFont="1"/>
    <xf borderId="36" fillId="7" fontId="9" numFmtId="0" xfId="0" applyAlignment="1" applyBorder="1" applyFont="1">
      <alignment horizontal="center" readingOrder="1" shrinkToFit="0" vertical="center" wrapText="1"/>
    </xf>
    <xf borderId="39" fillId="0" fontId="6" numFmtId="0" xfId="0" applyBorder="1" applyFont="1"/>
    <xf borderId="36" fillId="0" fontId="9" numFmtId="0" xfId="0" applyAlignment="1" applyBorder="1" applyFont="1">
      <alignment horizontal="center" readingOrder="1" shrinkToFit="0" vertical="center" wrapText="1"/>
    </xf>
    <xf borderId="36" fillId="12" fontId="29" numFmtId="0" xfId="0" applyAlignment="1" applyBorder="1" applyFont="1">
      <alignment horizontal="center" readingOrder="1" shrinkToFit="0" vertical="center" wrapText="1"/>
    </xf>
    <xf borderId="36" fillId="12" fontId="30" numFmtId="168" xfId="0" applyAlignment="1" applyBorder="1" applyFont="1" applyNumberFormat="1">
      <alignment horizontal="center" readingOrder="1" shrinkToFit="0" vertical="center" wrapText="1"/>
    </xf>
    <xf borderId="36" fillId="12" fontId="9" numFmtId="0" xfId="0" applyAlignment="1" applyBorder="1" applyFont="1">
      <alignment horizontal="center" readingOrder="1" shrinkToFit="0" vertical="center" wrapText="1"/>
    </xf>
    <xf borderId="0" fillId="21" fontId="52" numFmtId="0" xfId="0" applyAlignment="1" applyFont="1">
      <alignment horizontal="center" readingOrder="0" vertical="center"/>
    </xf>
    <xf borderId="0" fillId="30" fontId="52" numFmtId="0" xfId="0" applyAlignment="1" applyFont="1">
      <alignment horizontal="center" readingOrder="0" vertical="center"/>
    </xf>
    <xf borderId="0" fillId="6" fontId="52" numFmtId="0" xfId="0" applyAlignment="1" applyFont="1">
      <alignment horizontal="center" readingOrder="0" vertical="center"/>
    </xf>
    <xf borderId="0" fillId="7" fontId="8" numFmtId="0" xfId="0" applyAlignment="1" applyFont="1">
      <alignment horizontal="left" shrinkToFit="0" vertical="center" wrapText="1"/>
    </xf>
    <xf borderId="0" fillId="7" fontId="8" numFmtId="0" xfId="0" applyAlignment="1" applyFont="1">
      <alignment horizontal="center" shrinkToFit="0" vertical="center" wrapText="1"/>
    </xf>
    <xf borderId="0" fillId="7" fontId="9" numFmtId="0" xfId="0" applyAlignment="1" applyFont="1">
      <alignment horizontal="center" shrinkToFit="0" vertical="center" wrapText="1"/>
    </xf>
    <xf borderId="36" fillId="37" fontId="8" numFmtId="0" xfId="0" applyAlignment="1" applyBorder="1" applyFill="1" applyFont="1">
      <alignment horizontal="left" shrinkToFit="0" vertical="center" wrapText="1"/>
    </xf>
    <xf borderId="36" fillId="37" fontId="8" numFmtId="0" xfId="0" applyAlignment="1" applyBorder="1" applyFont="1">
      <alignment horizontal="center" shrinkToFit="0" vertical="center" wrapText="1"/>
    </xf>
    <xf borderId="36" fillId="37" fontId="9" numFmtId="0" xfId="0" applyAlignment="1" applyBorder="1" applyFont="1">
      <alignment horizontal="center" shrinkToFit="0" vertical="center" wrapText="1"/>
    </xf>
    <xf borderId="37" fillId="21" fontId="29" numFmtId="0" xfId="0" applyAlignment="1" applyBorder="1" applyFont="1">
      <alignment horizontal="center" readingOrder="1" shrinkToFit="0" vertical="center" wrapText="1"/>
    </xf>
    <xf borderId="37" fillId="0" fontId="9" numFmtId="0" xfId="0" applyAlignment="1" applyBorder="1" applyFont="1">
      <alignment horizontal="center" readingOrder="1" shrinkToFit="0" vertical="center" wrapText="1"/>
    </xf>
    <xf borderId="37" fillId="38" fontId="29" numFmtId="0" xfId="0" applyAlignment="1" applyBorder="1" applyFill="1" applyFont="1">
      <alignment horizontal="center" readingOrder="1" shrinkToFit="0" vertical="center" wrapText="1"/>
    </xf>
    <xf borderId="36" fillId="0" fontId="29" numFmtId="0" xfId="0" applyAlignment="1" applyBorder="1" applyFont="1">
      <alignment horizontal="center" readingOrder="1" shrinkToFit="0" vertical="center" wrapText="1"/>
    </xf>
    <xf borderId="36" fillId="33" fontId="9" numFmtId="0" xfId="0" applyAlignment="1" applyBorder="1" applyFont="1">
      <alignment horizontal="center" readingOrder="1" shrinkToFit="0" vertical="center" wrapText="1"/>
    </xf>
    <xf borderId="14" fillId="21" fontId="29" numFmtId="0" xfId="0" applyAlignment="1" applyBorder="1" applyFont="1">
      <alignment horizontal="center" readingOrder="1" shrinkToFit="0" vertical="center" wrapText="1"/>
    </xf>
    <xf borderId="14" fillId="7" fontId="9" numFmtId="0" xfId="0" applyAlignment="1" applyBorder="1" applyFont="1">
      <alignment horizontal="center" readingOrder="1" shrinkToFit="0" vertical="center" wrapText="1"/>
    </xf>
    <xf borderId="0" fillId="7" fontId="4" numFmtId="0" xfId="0" applyAlignment="1" applyFont="1">
      <alignment horizontal="center" readingOrder="0" shrinkToFit="0" vertical="center" wrapText="1"/>
    </xf>
    <xf borderId="0" fillId="7" fontId="29" numFmtId="0" xfId="0" applyAlignment="1" applyFont="1">
      <alignment horizontal="center" readingOrder="1" shrinkToFit="0" vertical="center" wrapText="1"/>
    </xf>
    <xf borderId="0" fillId="7" fontId="30" numFmtId="167" xfId="0" applyAlignment="1" applyFont="1" applyNumberFormat="1">
      <alignment horizontal="center" readingOrder="1" shrinkToFit="0" vertical="center" wrapText="1"/>
    </xf>
    <xf borderId="0" fillId="7" fontId="9" numFmtId="0" xfId="0" applyAlignment="1" applyFont="1">
      <alignment horizontal="center" readingOrder="1" shrinkToFit="0" vertical="center" wrapText="1"/>
    </xf>
    <xf borderId="0" fillId="7" fontId="29" numFmtId="166" xfId="0" applyAlignment="1" applyFont="1" applyNumberFormat="1">
      <alignment horizontal="center" readingOrder="1" shrinkToFit="0" vertical="center" wrapText="1"/>
    </xf>
    <xf borderId="14" fillId="6" fontId="29" numFmtId="0" xfId="0" applyAlignment="1" applyBorder="1" applyFont="1">
      <alignment horizontal="center" readingOrder="1" shrinkToFit="0" vertical="center" wrapText="1"/>
    </xf>
    <xf borderId="14" fillId="20" fontId="29" numFmtId="0" xfId="0" applyAlignment="1" applyBorder="1" applyFont="1">
      <alignment horizontal="center" readingOrder="1" shrinkToFit="0" vertical="center" wrapText="1"/>
    </xf>
    <xf borderId="14" fillId="8" fontId="29" numFmtId="0" xfId="0" applyAlignment="1" applyBorder="1" applyFont="1">
      <alignment horizontal="center" readingOrder="1" shrinkToFit="0" vertical="center" wrapText="1"/>
    </xf>
    <xf borderId="0" fillId="0" fontId="2" numFmtId="0" xfId="0" applyAlignment="1" applyFont="1">
      <alignment horizontal="center"/>
    </xf>
    <xf borderId="0" fillId="0" fontId="54" numFmtId="0" xfId="0" applyAlignment="1" applyFont="1">
      <alignment horizontal="center" readingOrder="0" vertical="center"/>
    </xf>
    <xf borderId="0" fillId="10" fontId="11" numFmtId="0" xfId="0" applyFont="1"/>
    <xf borderId="0" fillId="0" fontId="55" numFmtId="0" xfId="0" applyAlignment="1" applyFont="1">
      <alignment horizontal="center"/>
    </xf>
    <xf borderId="1" fillId="10" fontId="11" numFmtId="0" xfId="0" applyBorder="1" applyFont="1"/>
    <xf borderId="1" fillId="10" fontId="55" numFmtId="0" xfId="0" applyAlignment="1" applyBorder="1" applyFont="1">
      <alignment horizontal="center"/>
    </xf>
    <xf borderId="7" fillId="36" fontId="56" numFmtId="0" xfId="0" applyAlignment="1" applyBorder="1" applyFont="1">
      <alignment horizontal="center" vertical="center"/>
    </xf>
    <xf borderId="40" fillId="13" fontId="5" numFmtId="0" xfId="0" applyAlignment="1" applyBorder="1" applyFont="1">
      <alignment horizontal="center" vertical="center"/>
    </xf>
    <xf borderId="41" fillId="0" fontId="6" numFmtId="0" xfId="0" applyBorder="1" applyFont="1"/>
    <xf borderId="42" fillId="0" fontId="6" numFmtId="0" xfId="0" applyBorder="1" applyFont="1"/>
    <xf borderId="43" fillId="0" fontId="4" numFmtId="0" xfId="0" applyAlignment="1" applyBorder="1" applyFont="1">
      <alignment horizontal="center"/>
    </xf>
    <xf borderId="44" fillId="15" fontId="4" numFmtId="20" xfId="0" applyAlignment="1" applyBorder="1" applyFont="1" applyNumberFormat="1">
      <alignment horizontal="center" readingOrder="1" shrinkToFit="0" vertical="center" wrapText="1"/>
    </xf>
    <xf borderId="44" fillId="15" fontId="12" numFmtId="0" xfId="0" applyAlignment="1" applyBorder="1" applyFont="1">
      <alignment horizontal="center" vertical="center"/>
    </xf>
    <xf borderId="44" fillId="15" fontId="11" numFmtId="0" xfId="0" applyAlignment="1" applyBorder="1" applyFont="1">
      <alignment horizontal="center" vertical="center"/>
    </xf>
    <xf borderId="44" fillId="15" fontId="11" numFmtId="169" xfId="0" applyAlignment="1" applyBorder="1" applyFont="1" applyNumberFormat="1">
      <alignment horizontal="center" vertical="center"/>
    </xf>
    <xf borderId="6" fillId="2" fontId="8" numFmtId="0" xfId="0" applyAlignment="1" applyBorder="1" applyFont="1">
      <alignment horizontal="center" shrinkToFit="0" vertical="center" wrapText="1"/>
    </xf>
    <xf borderId="0" fillId="0" fontId="57" numFmtId="0" xfId="0" applyFont="1"/>
    <xf borderId="44" fillId="15" fontId="4" numFmtId="0" xfId="0" applyAlignment="1" applyBorder="1" applyFont="1">
      <alignment horizontal="center" readingOrder="1" shrinkToFit="0" vertical="center" wrapText="1"/>
    </xf>
    <xf borderId="44" fillId="15" fontId="58" numFmtId="0" xfId="0" applyAlignment="1" applyBorder="1" applyFont="1">
      <alignment horizontal="center" readingOrder="0" vertical="center"/>
    </xf>
    <xf borderId="0" fillId="0" fontId="11" numFmtId="0" xfId="0" applyAlignment="1" applyFont="1">
      <alignment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7" fillId="0" fontId="29" numFmtId="0" xfId="0" applyAlignment="1" applyBorder="1" applyFont="1">
      <alignment horizontal="center" readingOrder="1" shrinkToFit="0" vertical="center" wrapText="1"/>
    </xf>
    <xf borderId="7" fillId="0" fontId="29" numFmtId="49" xfId="0" applyAlignment="1" applyBorder="1" applyFont="1" applyNumberFormat="1">
      <alignment horizontal="center" readingOrder="1" shrinkToFit="0" vertical="center" wrapText="1"/>
    </xf>
    <xf borderId="7" fillId="0" fontId="29" numFmtId="16" xfId="0" applyAlignment="1" applyBorder="1" applyFont="1" applyNumberFormat="1">
      <alignment horizontal="center" readingOrder="1" shrinkToFit="0" vertical="center" wrapText="1"/>
    </xf>
    <xf borderId="0" fillId="36" fontId="16" numFmtId="0" xfId="0" applyAlignment="1" applyFont="1">
      <alignment readingOrder="0"/>
    </xf>
    <xf borderId="6" fillId="36" fontId="8" numFmtId="166" xfId="0" applyAlignment="1" applyBorder="1" applyFont="1" applyNumberFormat="1">
      <alignment horizontal="center" readingOrder="1" shrinkToFit="0" vertical="center" wrapText="1"/>
    </xf>
    <xf borderId="6" fillId="2" fontId="29" numFmtId="166" xfId="0" applyAlignment="1" applyBorder="1" applyFont="1" applyNumberFormat="1">
      <alignment horizontal="center" readingOrder="1" shrinkToFit="0" vertical="center" wrapText="1"/>
    </xf>
    <xf borderId="7" fillId="10" fontId="29" numFmtId="0" xfId="0" applyAlignment="1" applyBorder="1" applyFont="1">
      <alignment horizontal="center" readingOrder="1" shrinkToFit="0" vertical="center" wrapText="1"/>
    </xf>
    <xf borderId="6" fillId="10" fontId="8" numFmtId="0" xfId="0" applyAlignment="1" applyBorder="1" applyFont="1">
      <alignment horizontal="center" readingOrder="1" shrinkToFit="0" vertical="center" wrapText="1"/>
    </xf>
    <xf borderId="6" fillId="10" fontId="29" numFmtId="20" xfId="0" applyAlignment="1" applyBorder="1" applyFont="1" applyNumberFormat="1">
      <alignment horizontal="center" readingOrder="1" shrinkToFit="0" vertical="center" wrapText="1"/>
    </xf>
    <xf borderId="6" fillId="10" fontId="4" numFmtId="20" xfId="0" applyAlignment="1" applyBorder="1" applyFont="1" applyNumberFormat="1">
      <alignment horizontal="center" readingOrder="1" shrinkToFit="0" vertical="center" wrapText="1"/>
    </xf>
    <xf borderId="0" fillId="0" fontId="11" numFmtId="0" xfId="0" applyAlignment="1" applyFont="1">
      <alignment horizontal="center" vertical="center"/>
    </xf>
    <xf borderId="7" fillId="7" fontId="29" numFmtId="20" xfId="0" applyAlignment="1" applyBorder="1" applyFont="1" applyNumberFormat="1">
      <alignment horizontal="center" readingOrder="1" shrinkToFit="0" vertical="center" wrapText="1"/>
    </xf>
    <xf borderId="0" fillId="7" fontId="14" numFmtId="0" xfId="0" applyAlignment="1" applyFont="1">
      <alignment horizontal="center" readingOrder="0"/>
    </xf>
    <xf borderId="6" fillId="7" fontId="4" numFmtId="166" xfId="0" applyAlignment="1" applyBorder="1" applyFont="1" applyNumberFormat="1">
      <alignment horizontal="center" readingOrder="1" shrinkToFit="0" vertical="center" wrapText="1"/>
    </xf>
    <xf borderId="44" fillId="15" fontId="14" numFmtId="0" xfId="0" applyAlignment="1" applyBorder="1" applyFont="1">
      <alignment horizontal="center" readingOrder="0" vertical="center"/>
    </xf>
    <xf borderId="6" fillId="7" fontId="8" numFmtId="0" xfId="0" applyAlignment="1" applyBorder="1" applyFont="1">
      <alignment horizontal="center" readingOrder="1" shrinkToFit="0" vertical="center" wrapText="1"/>
    </xf>
    <xf borderId="44" fillId="15" fontId="58" numFmtId="169" xfId="0" applyAlignment="1" applyBorder="1" applyFont="1" applyNumberFormat="1">
      <alignment horizontal="center" readingOrder="0" vertical="center"/>
    </xf>
    <xf borderId="6" fillId="7" fontId="8" numFmtId="166" xfId="0" applyAlignment="1" applyBorder="1" applyFont="1" applyNumberFormat="1">
      <alignment horizontal="center" readingOrder="1" shrinkToFit="0" vertical="center" wrapText="1"/>
    </xf>
    <xf borderId="44" fillId="6" fontId="4" numFmtId="0" xfId="0" applyAlignment="1" applyBorder="1" applyFont="1">
      <alignment horizontal="center" readingOrder="1" shrinkToFit="0" vertical="center" wrapText="1"/>
    </xf>
    <xf borderId="44" fillId="6" fontId="58" numFmtId="169" xfId="0" applyAlignment="1" applyBorder="1" applyFont="1" applyNumberFormat="1">
      <alignment horizontal="center" readingOrder="0" vertical="center"/>
    </xf>
    <xf borderId="44" fillId="6" fontId="11" numFmtId="169" xfId="0" applyAlignment="1" applyBorder="1" applyFont="1" applyNumberFormat="1">
      <alignment horizontal="center" vertical="center"/>
    </xf>
    <xf borderId="6" fillId="0" fontId="31" numFmtId="0" xfId="0" applyAlignment="1" applyBorder="1" applyFont="1">
      <alignment horizontal="center" readingOrder="1" shrinkToFit="0" vertical="center" wrapText="1"/>
    </xf>
    <xf borderId="6" fillId="4" fontId="4" numFmtId="20" xfId="0" applyAlignment="1" applyBorder="1" applyFont="1" applyNumberFormat="1">
      <alignment horizontal="center" readingOrder="1" shrinkToFit="0" vertical="center" wrapText="1"/>
    </xf>
    <xf borderId="45" fillId="0" fontId="59" numFmtId="0" xfId="0" applyAlignment="1" applyBorder="1" applyFont="1">
      <alignment horizontal="center" shrinkToFit="0" vertical="center" wrapText="1"/>
    </xf>
    <xf borderId="46" fillId="0" fontId="6" numFmtId="0" xfId="0" applyBorder="1" applyFont="1"/>
    <xf borderId="47" fillId="0" fontId="6" numFmtId="0" xfId="0" applyBorder="1" applyFont="1"/>
    <xf borderId="6" fillId="0" fontId="31" numFmtId="20" xfId="0" applyAlignment="1" applyBorder="1" applyFont="1" applyNumberFormat="1">
      <alignment horizontal="center" readingOrder="1" shrinkToFit="0" vertical="center" wrapText="1"/>
    </xf>
    <xf borderId="6" fillId="0" fontId="60" numFmtId="0" xfId="0" applyAlignment="1" applyBorder="1" applyFont="1">
      <alignment horizontal="center" vertical="center"/>
    </xf>
    <xf borderId="45" fillId="0" fontId="8" numFmtId="0" xfId="0" applyAlignment="1" applyBorder="1" applyFont="1">
      <alignment horizontal="center" readingOrder="1" shrinkToFit="0" vertical="center" wrapText="1"/>
    </xf>
    <xf borderId="6" fillId="0" fontId="31" numFmtId="0" xfId="0" applyAlignment="1" applyBorder="1" applyFont="1">
      <alignment horizontal="center" readingOrder="1" shrinkToFit="0" vertical="center" wrapText="1"/>
    </xf>
    <xf borderId="0" fillId="15" fontId="14" numFmtId="0" xfId="0" applyAlignment="1" applyFont="1">
      <alignment horizontal="center" readingOrder="0" shrinkToFit="0" vertical="center" wrapText="1"/>
    </xf>
    <xf borderId="0" fillId="15" fontId="14" numFmtId="169" xfId="0" applyAlignment="1" applyFont="1" applyNumberFormat="1">
      <alignment horizontal="center" readingOrder="0" shrinkToFit="0" vertical="center" wrapText="1"/>
    </xf>
    <xf borderId="0" fillId="15" fontId="4" numFmtId="0" xfId="0" applyAlignment="1" applyFont="1">
      <alignment horizontal="center" readingOrder="1" shrinkToFit="0" vertical="center" wrapText="1"/>
    </xf>
    <xf borderId="6" fillId="15" fontId="17" numFmtId="0" xfId="0" applyAlignment="1" applyBorder="1" applyFont="1">
      <alignment horizontal="center" shrinkToFit="0" wrapText="1"/>
    </xf>
    <xf borderId="6" fillId="15" fontId="60" numFmtId="169" xfId="0" applyAlignment="1" applyBorder="1" applyFont="1" applyNumberFormat="1">
      <alignment horizontal="center" shrinkToFit="0" wrapText="1"/>
    </xf>
    <xf borderId="1" fillId="10" fontId="4" numFmtId="20" xfId="0" applyAlignment="1" applyBorder="1" applyFont="1" applyNumberFormat="1">
      <alignment horizontal="left" readingOrder="1" shrinkToFit="0" vertical="center" wrapText="1"/>
    </xf>
    <xf borderId="17" fillId="2" fontId="61" numFmtId="0" xfId="0" applyAlignment="1" applyBorder="1" applyFont="1">
      <alignment horizontal="center"/>
    </xf>
    <xf borderId="6" fillId="15" fontId="12" numFmtId="0" xfId="0" applyAlignment="1" applyBorder="1" applyFont="1">
      <alignment horizontal="center" shrinkToFit="0" wrapText="1"/>
    </xf>
    <xf borderId="6" fillId="15" fontId="11" numFmtId="169" xfId="0" applyAlignment="1" applyBorder="1" applyFont="1" applyNumberFormat="1">
      <alignment horizontal="center" shrinkToFit="0" wrapText="1"/>
    </xf>
    <xf borderId="6" fillId="15" fontId="60" numFmtId="0" xfId="0" applyAlignment="1" applyBorder="1" applyFont="1">
      <alignment horizontal="center"/>
    </xf>
    <xf borderId="6" fillId="15" fontId="60" numFmtId="169" xfId="0" applyAlignment="1" applyBorder="1" applyFont="1" applyNumberFormat="1">
      <alignment horizontal="center"/>
    </xf>
    <xf borderId="17" fillId="10" fontId="62" numFmtId="0" xfId="0" applyAlignment="1" applyBorder="1" applyFont="1">
      <alignment horizontal="center"/>
    </xf>
    <xf borderId="17" fillId="10" fontId="63" numFmtId="0" xfId="0" applyAlignment="1" applyBorder="1" applyFont="1">
      <alignment horizontal="center" readingOrder="0"/>
    </xf>
    <xf borderId="48" fillId="16" fontId="27" numFmtId="0" xfId="0" applyAlignment="1" applyBorder="1" applyFont="1">
      <alignment horizontal="center" vertical="center"/>
    </xf>
    <xf borderId="49" fillId="0" fontId="6" numFmtId="0" xfId="0" applyBorder="1" applyFont="1"/>
    <xf borderId="50" fillId="0" fontId="6" numFmtId="0" xfId="0" applyBorder="1" applyFont="1"/>
    <xf borderId="51" fillId="17" fontId="8" numFmtId="0" xfId="0" applyAlignment="1" applyBorder="1" applyFont="1">
      <alignment horizontal="left" shrinkToFit="0" vertical="center" wrapText="1"/>
    </xf>
    <xf borderId="51" fillId="17" fontId="8" numFmtId="0" xfId="0" applyAlignment="1" applyBorder="1" applyFont="1">
      <alignment horizontal="center" shrinkToFit="0" vertical="center" wrapText="1"/>
    </xf>
    <xf borderId="51" fillId="17" fontId="9" numFmtId="0" xfId="0" applyAlignment="1" applyBorder="1" applyFont="1">
      <alignment horizontal="center" shrinkToFit="0" vertical="center" wrapText="1"/>
    </xf>
    <xf borderId="25" fillId="2" fontId="8" numFmtId="0" xfId="0" applyAlignment="1" applyBorder="1" applyFont="1">
      <alignment horizontal="center" shrinkToFit="0" vertical="center" wrapText="1"/>
    </xf>
    <xf borderId="17" fillId="6" fontId="64" numFmtId="0" xfId="0" applyAlignment="1" applyBorder="1" applyFont="1">
      <alignment horizontal="center" readingOrder="0"/>
    </xf>
    <xf borderId="26" fillId="0" fontId="4" numFmtId="0" xfId="0" applyAlignment="1" applyBorder="1" applyFont="1">
      <alignment horizontal="center" shrinkToFit="0" vertical="center" wrapText="1"/>
    </xf>
    <xf borderId="26" fillId="0" fontId="29" numFmtId="0" xfId="0" applyAlignment="1" applyBorder="1" applyFont="1">
      <alignment horizontal="center" readingOrder="1" shrinkToFit="0" vertical="center" wrapText="1"/>
    </xf>
    <xf borderId="26" fillId="39" fontId="65" numFmtId="0" xfId="0" applyAlignment="1" applyBorder="1" applyFill="1" applyFont="1">
      <alignment horizontal="center" readingOrder="1" shrinkToFit="0" vertical="center" wrapText="1"/>
    </xf>
    <xf borderId="26" fillId="0" fontId="29" numFmtId="0" xfId="0" applyAlignment="1" applyBorder="1" applyFont="1">
      <alignment horizontal="center" readingOrder="1" shrinkToFit="0" vertical="center" wrapText="1"/>
    </xf>
    <xf borderId="51" fillId="10" fontId="30" numFmtId="166" xfId="0" applyAlignment="1" applyBorder="1" applyFont="1" applyNumberFormat="1">
      <alignment horizontal="center" readingOrder="1" shrinkToFit="0" vertical="center" wrapText="1"/>
    </xf>
    <xf borderId="52" fillId="2" fontId="29" numFmtId="166" xfId="0" applyAlignment="1" applyBorder="1" applyFont="1" applyNumberFormat="1">
      <alignment horizontal="center" readingOrder="1" shrinkToFit="0" vertical="center" wrapText="1"/>
    </xf>
    <xf borderId="26" fillId="19" fontId="29" numFmtId="0" xfId="0" applyAlignment="1" applyBorder="1" applyFont="1">
      <alignment horizontal="center" readingOrder="1" shrinkToFit="0" vertical="center" wrapText="1"/>
    </xf>
    <xf borderId="51" fillId="19" fontId="8" numFmtId="0" xfId="0" applyAlignment="1" applyBorder="1" applyFont="1">
      <alignment horizontal="center" readingOrder="1" shrinkToFit="0" vertical="center" wrapText="1"/>
    </xf>
    <xf borderId="26" fillId="40" fontId="66" numFmtId="0" xfId="0" applyAlignment="1" applyBorder="1" applyFill="1" applyFont="1">
      <alignment horizontal="center" readingOrder="1" shrinkToFit="0" vertical="center" wrapText="1"/>
    </xf>
    <xf borderId="26" fillId="19" fontId="31" numFmtId="20" xfId="0" applyAlignment="1" applyBorder="1" applyFont="1" applyNumberFormat="1">
      <alignment horizontal="center" readingOrder="1" shrinkToFit="0" vertical="center" wrapText="1"/>
    </xf>
    <xf borderId="51" fillId="19" fontId="32" numFmtId="20" xfId="0" applyAlignment="1" applyBorder="1" applyFont="1" applyNumberFormat="1">
      <alignment horizontal="center" readingOrder="1" shrinkToFit="0" vertical="center" wrapText="1"/>
    </xf>
    <xf borderId="28" fillId="0" fontId="6" numFmtId="0" xfId="0" applyBorder="1" applyFont="1"/>
    <xf borderId="51" fillId="16" fontId="9" numFmtId="0" xfId="0" applyAlignment="1" applyBorder="1" applyFont="1">
      <alignment horizontal="center" shrinkToFit="0" vertical="center" wrapText="1"/>
    </xf>
    <xf borderId="51" fillId="0" fontId="9" numFmtId="166" xfId="0" applyAlignment="1" applyBorder="1" applyFont="1" applyNumberFormat="1">
      <alignment horizontal="center" readingOrder="1" shrinkToFit="0" vertical="center" wrapText="1"/>
    </xf>
    <xf borderId="51" fillId="16" fontId="9" numFmtId="166" xfId="0" applyAlignment="1" applyBorder="1" applyFont="1" applyNumberFormat="1">
      <alignment horizontal="center" readingOrder="1" shrinkToFit="0" vertical="center" wrapText="1"/>
    </xf>
    <xf borderId="24" fillId="19" fontId="8" numFmtId="0" xfId="0" applyAlignment="1" applyBorder="1" applyFont="1">
      <alignment horizontal="center" readingOrder="1" shrinkToFit="0" vertical="center" wrapText="1"/>
    </xf>
    <xf borderId="24" fillId="19" fontId="32" numFmtId="20" xfId="0" applyAlignment="1" applyBorder="1" applyFont="1" applyNumberFormat="1">
      <alignment horizontal="center" readingOrder="1" shrinkToFit="0" vertical="center" wrapText="1"/>
    </xf>
    <xf borderId="51" fillId="10" fontId="9" numFmtId="0" xfId="0" applyAlignment="1" applyBorder="1" applyFont="1">
      <alignment horizontal="center" shrinkToFit="0" vertical="center" wrapText="1"/>
    </xf>
    <xf borderId="1" fillId="41" fontId="67" numFmtId="0" xfId="0" applyAlignment="1" applyBorder="1" applyFill="1" applyFont="1">
      <alignment horizontal="center" readingOrder="0"/>
    </xf>
    <xf borderId="24" fillId="19" fontId="32" numFmtId="0" xfId="0" applyAlignment="1" applyBorder="1" applyFont="1">
      <alignment horizontal="center" readingOrder="1" shrinkToFit="0" vertical="center" wrapText="1"/>
    </xf>
    <xf borderId="0" fillId="9" fontId="19" numFmtId="0" xfId="0" applyFont="1"/>
    <xf borderId="53" fillId="0" fontId="6" numFmtId="0" xfId="0" applyBorder="1" applyFont="1"/>
    <xf borderId="24" fillId="4" fontId="8" numFmtId="0" xfId="0" applyAlignment="1" applyBorder="1" applyFont="1">
      <alignment horizontal="center" readingOrder="1" shrinkToFit="0" vertical="center" wrapText="1"/>
    </xf>
    <xf borderId="54" fillId="0" fontId="6" numFmtId="0" xfId="0" applyBorder="1" applyFont="1"/>
    <xf borderId="24" fillId="4" fontId="32" numFmtId="20" xfId="0" applyAlignment="1" applyBorder="1" applyFont="1" applyNumberFormat="1">
      <alignment horizontal="center" readingOrder="1" shrinkToFit="0" vertical="center" wrapText="1"/>
    </xf>
    <xf borderId="55" fillId="19" fontId="31" numFmtId="0" xfId="0" applyAlignment="1" applyBorder="1" applyFont="1">
      <alignment horizontal="center" readingOrder="1" shrinkToFit="0" vertical="center" wrapText="1"/>
    </xf>
    <xf borderId="56" fillId="19" fontId="68" numFmtId="0" xfId="0" applyAlignment="1" applyBorder="1" applyFont="1">
      <alignment horizontal="center" readingOrder="1" shrinkToFit="0" vertical="center" wrapText="1"/>
    </xf>
    <xf borderId="57" fillId="40" fontId="66" numFmtId="0" xfId="0" applyAlignment="1" applyBorder="1" applyFont="1">
      <alignment horizontal="center" readingOrder="1" shrinkToFit="0" vertical="center" wrapText="1"/>
    </xf>
    <xf borderId="57" fillId="19" fontId="31" numFmtId="20" xfId="0" applyAlignment="1" applyBorder="1" applyFont="1" applyNumberFormat="1">
      <alignment horizontal="center" readingOrder="1" shrinkToFit="0" vertical="center" wrapText="1"/>
    </xf>
    <xf borderId="58" fillId="19" fontId="32" numFmtId="20" xfId="0" applyAlignment="1" applyBorder="1" applyFont="1" applyNumberFormat="1">
      <alignment horizontal="center" readingOrder="1" shrinkToFit="0" vertical="center" wrapText="1"/>
    </xf>
    <xf borderId="51" fillId="42" fontId="9" numFmtId="166" xfId="0" applyAlignment="1" applyBorder="1" applyFill="1" applyFont="1" applyNumberFormat="1">
      <alignment horizontal="center" readingOrder="1" shrinkToFit="0" vertical="center" wrapText="1"/>
    </xf>
    <xf borderId="59" fillId="0" fontId="6" numFmtId="0" xfId="0" applyBorder="1" applyFont="1"/>
    <xf borderId="51" fillId="19" fontId="68" numFmtId="0" xfId="0" applyAlignment="1" applyBorder="1" applyFont="1">
      <alignment horizontal="center" readingOrder="1" shrinkToFit="0" vertical="center" wrapText="1"/>
    </xf>
    <xf borderId="60" fillId="19" fontId="32" numFmtId="20" xfId="0" applyAlignment="1" applyBorder="1" applyFont="1" applyNumberFormat="1">
      <alignment horizontal="center" readingOrder="1" shrinkToFit="0" vertical="center" wrapText="1"/>
    </xf>
    <xf borderId="44" fillId="15" fontId="69" numFmtId="169" xfId="0" applyAlignment="1" applyBorder="1" applyFont="1" applyNumberFormat="1">
      <alignment horizontal="center" readingOrder="0" vertical="center"/>
    </xf>
    <xf borderId="44" fillId="15" fontId="60" numFmtId="169" xfId="0" applyAlignment="1" applyBorder="1" applyFont="1" applyNumberFormat="1">
      <alignment horizontal="center" vertical="center"/>
    </xf>
    <xf borderId="61" fillId="42" fontId="11" numFmtId="0" xfId="0" applyAlignment="1" applyBorder="1" applyFont="1">
      <alignment horizontal="center"/>
    </xf>
    <xf borderId="60" fillId="19" fontId="4" numFmtId="0" xfId="0" applyAlignment="1" applyBorder="1" applyFont="1">
      <alignment horizontal="center" readingOrder="1" shrinkToFit="0" vertical="center" wrapText="1"/>
    </xf>
    <xf borderId="62" fillId="0" fontId="6" numFmtId="0" xfId="0" applyBorder="1" applyFont="1"/>
    <xf borderId="63" fillId="2" fontId="29" numFmtId="166" xfId="0" applyAlignment="1" applyBorder="1" applyFont="1" applyNumberFormat="1">
      <alignment horizontal="center" readingOrder="1" shrinkToFit="0" vertical="center" wrapText="1"/>
    </xf>
    <xf borderId="64" fillId="0" fontId="6" numFmtId="0" xfId="0" applyBorder="1" applyFont="1"/>
    <xf borderId="65" fillId="0" fontId="6" numFmtId="0" xfId="0" applyBorder="1" applyFont="1"/>
    <xf borderId="66" fillId="2" fontId="29" numFmtId="166" xfId="0" applyAlignment="1" applyBorder="1" applyFont="1" applyNumberFormat="1">
      <alignment horizontal="center" readingOrder="1" shrinkToFit="0" vertical="center" wrapText="1"/>
    </xf>
    <xf borderId="67" fillId="0" fontId="6" numFmtId="0" xfId="0" applyBorder="1" applyFont="1"/>
    <xf borderId="24" fillId="19" fontId="68" numFmtId="0" xfId="0" applyAlignment="1" applyBorder="1" applyFont="1">
      <alignment horizontal="center" readingOrder="1" shrinkToFit="0" vertical="center" wrapText="1"/>
    </xf>
    <xf borderId="68" fillId="0" fontId="6" numFmtId="0" xfId="0" applyBorder="1" applyFont="1"/>
    <xf borderId="69" fillId="19" fontId="70" numFmtId="0" xfId="0" applyAlignment="1" applyBorder="1" applyFont="1">
      <alignment horizontal="center" readingOrder="1" shrinkToFit="0" vertical="center" wrapText="1"/>
    </xf>
    <xf borderId="0" fillId="0" fontId="60" numFmtId="0" xfId="0" applyAlignment="1" applyFont="1">
      <alignment horizontal="center"/>
    </xf>
    <xf borderId="6" fillId="19" fontId="38" numFmtId="20" xfId="0" applyAlignment="1" applyBorder="1" applyFont="1" applyNumberFormat="1">
      <alignment horizontal="center" readingOrder="1" shrinkToFit="0" vertical="center" wrapText="1"/>
    </xf>
    <xf borderId="6" fillId="0" fontId="11" numFmtId="0" xfId="0" applyAlignment="1" applyBorder="1" applyFont="1">
      <alignment horizontal="center" vertical="center"/>
    </xf>
    <xf borderId="6" fillId="19" fontId="38" numFmtId="0" xfId="0" applyAlignment="1" applyBorder="1" applyFont="1">
      <alignment horizontal="center" readingOrder="1" shrinkToFit="0" vertical="center" wrapText="1"/>
    </xf>
    <xf borderId="0" fillId="0" fontId="11" numFmtId="0" xfId="0" applyAlignment="1" applyFont="1">
      <alignment horizontal="center"/>
    </xf>
    <xf borderId="20" fillId="10" fontId="71" numFmtId="0" xfId="0" applyAlignment="1" applyBorder="1" applyFont="1">
      <alignment horizontal="left" shrinkToFit="0" vertical="center" wrapText="1"/>
    </xf>
    <xf borderId="51" fillId="2" fontId="29" numFmtId="166" xfId="0" applyAlignment="1" applyBorder="1" applyFont="1" applyNumberFormat="1">
      <alignment horizontal="center" readingOrder="1" shrinkToFit="0" vertical="center" wrapText="1"/>
    </xf>
    <xf borderId="48" fillId="0" fontId="29" numFmtId="0" xfId="0" applyAlignment="1" applyBorder="1" applyFont="1">
      <alignment horizontal="center" readingOrder="1" shrinkToFit="0" vertical="center" wrapText="1"/>
    </xf>
    <xf borderId="17" fillId="10" fontId="72" numFmtId="0" xfId="0" applyAlignment="1" applyBorder="1" applyFont="1">
      <alignment horizontal="center" readingOrder="0" vertical="center"/>
    </xf>
    <xf borderId="70" fillId="43" fontId="5" numFmtId="0" xfId="0" applyAlignment="1" applyBorder="1" applyFill="1" applyFont="1">
      <alignment horizontal="center" vertical="center"/>
    </xf>
    <xf borderId="71" fillId="0" fontId="6" numFmtId="0" xfId="0" applyBorder="1" applyFont="1"/>
    <xf borderId="72" fillId="0" fontId="6" numFmtId="0" xfId="0" applyBorder="1" applyFont="1"/>
    <xf borderId="73" fillId="0" fontId="4" numFmtId="0" xfId="0" applyAlignment="1" applyBorder="1" applyFont="1">
      <alignment horizontal="center"/>
    </xf>
    <xf borderId="74" fillId="43" fontId="5" numFmtId="0" xfId="0" applyAlignment="1" applyBorder="1" applyFont="1">
      <alignment horizontal="center" vertical="center"/>
    </xf>
    <xf borderId="75" fillId="0" fontId="6" numFmtId="0" xfId="0" applyBorder="1" applyFont="1"/>
    <xf borderId="76" fillId="0" fontId="6" numFmtId="0" xfId="0" applyBorder="1" applyFont="1"/>
    <xf borderId="51" fillId="44" fontId="8" numFmtId="0" xfId="0" applyAlignment="1" applyBorder="1" applyFill="1" applyFont="1">
      <alignment horizontal="center" shrinkToFit="0" vertical="center" wrapText="1"/>
    </xf>
    <xf borderId="51" fillId="44" fontId="9" numFmtId="0" xfId="0" applyAlignment="1" applyBorder="1" applyFont="1">
      <alignment horizontal="center" shrinkToFit="0" vertical="center" wrapText="1"/>
    </xf>
    <xf borderId="26" fillId="44" fontId="8" numFmtId="0" xfId="0" applyAlignment="1" applyBorder="1" applyFont="1">
      <alignment horizontal="center" shrinkToFit="0" vertical="center" wrapText="1"/>
    </xf>
    <xf borderId="77" fillId="2" fontId="8" numFmtId="0" xfId="0" applyAlignment="1" applyBorder="1" applyFont="1">
      <alignment horizontal="center" shrinkToFit="0" vertical="center" wrapText="1"/>
    </xf>
    <xf borderId="28" fillId="44" fontId="8" numFmtId="0" xfId="0" applyAlignment="1" applyBorder="1" applyFont="1">
      <alignment horizontal="center" shrinkToFit="0" vertical="center" wrapText="1"/>
    </xf>
    <xf borderId="26" fillId="40" fontId="32" numFmtId="0" xfId="0" applyAlignment="1" applyBorder="1" applyFont="1">
      <alignment horizontal="center" shrinkToFit="0" vertical="center" wrapText="1"/>
    </xf>
    <xf borderId="26" fillId="40" fontId="29" numFmtId="0" xfId="0" applyAlignment="1" applyBorder="1" applyFont="1">
      <alignment horizontal="center" readingOrder="1" shrinkToFit="0" vertical="center" wrapText="1"/>
    </xf>
    <xf borderId="26" fillId="40" fontId="29" numFmtId="49" xfId="0" applyAlignment="1" applyBorder="1" applyFont="1" applyNumberFormat="1">
      <alignment horizontal="center" readingOrder="0" shrinkToFit="0" vertical="center" wrapText="1"/>
    </xf>
    <xf borderId="33" fillId="40" fontId="29" numFmtId="16" xfId="0" applyAlignment="1" applyBorder="1" applyFont="1" applyNumberFormat="1">
      <alignment horizontal="center" readingOrder="1" shrinkToFit="0" vertical="center" wrapText="1"/>
    </xf>
    <xf borderId="78" fillId="40" fontId="16" numFmtId="0" xfId="0" applyAlignment="1" applyBorder="1" applyFont="1">
      <alignment horizontal="center" readingOrder="0" vertical="center"/>
    </xf>
    <xf borderId="44" fillId="0" fontId="16" numFmtId="0" xfId="0" applyAlignment="1" applyBorder="1" applyFont="1">
      <alignment horizontal="center" readingOrder="0" vertical="center"/>
    </xf>
    <xf borderId="79" fillId="2" fontId="29" numFmtId="166" xfId="0" applyAlignment="1" applyBorder="1" applyFont="1" applyNumberFormat="1">
      <alignment horizontal="center" readingOrder="1" shrinkToFit="0" vertical="center" wrapText="1"/>
    </xf>
    <xf borderId="78" fillId="0" fontId="29" numFmtId="0" xfId="0" applyAlignment="1" applyBorder="1" applyFont="1">
      <alignment horizontal="center" readingOrder="1" shrinkToFit="0" vertical="center" wrapText="1"/>
    </xf>
    <xf borderId="44" fillId="43" fontId="8" numFmtId="0" xfId="0" applyAlignment="1" applyBorder="1" applyFont="1">
      <alignment horizontal="center" readingOrder="1" shrinkToFit="0" vertical="center" wrapText="1"/>
    </xf>
    <xf borderId="78" fillId="43" fontId="29" numFmtId="0" xfId="0" applyAlignment="1" applyBorder="1" applyFont="1">
      <alignment horizontal="center" readingOrder="1" shrinkToFit="0" vertical="center" wrapText="1"/>
    </xf>
    <xf borderId="78" fillId="43" fontId="29" numFmtId="20" xfId="0" applyAlignment="1" applyBorder="1" applyFont="1" applyNumberFormat="1">
      <alignment horizontal="center" readingOrder="1" shrinkToFit="0" vertical="center" wrapText="1"/>
    </xf>
    <xf borderId="80" fillId="0" fontId="6" numFmtId="0" xfId="0" applyBorder="1" applyFont="1"/>
    <xf borderId="81" fillId="0" fontId="6" numFmtId="0" xfId="0" applyBorder="1" applyFont="1"/>
    <xf borderId="78" fillId="40" fontId="47" numFmtId="0" xfId="0" applyAlignment="1" applyBorder="1" applyFont="1">
      <alignment horizontal="center" readingOrder="0" shrinkToFit="0" vertical="center" wrapText="1"/>
    </xf>
    <xf borderId="82" fillId="0" fontId="6" numFmtId="0" xfId="0" applyBorder="1" applyFont="1"/>
    <xf borderId="44" fillId="15" fontId="29" numFmtId="20" xfId="0" applyAlignment="1" applyBorder="1" applyFont="1" applyNumberFormat="1">
      <alignment horizontal="center" readingOrder="1" shrinkToFit="0" vertical="center" wrapText="1"/>
    </xf>
    <xf borderId="44" fillId="40" fontId="47" numFmtId="0" xfId="0" applyAlignment="1" applyBorder="1" applyFont="1">
      <alignment horizontal="center" readingOrder="0" vertical="center"/>
    </xf>
    <xf borderId="44" fillId="42" fontId="11" numFmtId="0" xfId="0" applyBorder="1" applyFont="1"/>
    <xf borderId="44" fillId="40" fontId="16" numFmtId="0" xfId="0" applyAlignment="1" applyBorder="1" applyFont="1">
      <alignment horizontal="center" readingOrder="0" vertical="center"/>
    </xf>
    <xf borderId="83" fillId="2" fontId="29" numFmtId="166" xfId="0" applyAlignment="1" applyBorder="1" applyFont="1" applyNumberFormat="1">
      <alignment horizontal="center" readingOrder="1" shrinkToFit="0" vertical="center" wrapText="1"/>
    </xf>
    <xf borderId="44" fillId="0" fontId="8" numFmtId="0" xfId="0" applyAlignment="1" applyBorder="1" applyFont="1">
      <alignment horizontal="center" readingOrder="1" shrinkToFit="0" vertical="center" wrapText="1"/>
    </xf>
    <xf borderId="78" fillId="0" fontId="29" numFmtId="20" xfId="0" applyAlignment="1" applyBorder="1" applyFont="1" applyNumberFormat="1">
      <alignment horizontal="center" readingOrder="1" shrinkToFit="0" vertical="center" wrapText="1"/>
    </xf>
    <xf borderId="44" fillId="7" fontId="4" numFmtId="0" xfId="0" applyAlignment="1" applyBorder="1" applyFont="1">
      <alignment horizontal="center" readingOrder="1" shrinkToFit="0" vertical="center" wrapText="1"/>
    </xf>
    <xf borderId="44" fillId="6" fontId="14" numFmtId="0" xfId="0" applyAlignment="1" applyBorder="1" applyFont="1">
      <alignment horizontal="center" readingOrder="0" vertical="center"/>
    </xf>
    <xf borderId="44" fillId="6" fontId="58" numFmtId="0" xfId="0" applyAlignment="1" applyBorder="1" applyFont="1">
      <alignment horizontal="center" readingOrder="0" vertical="center"/>
    </xf>
    <xf borderId="28" fillId="7" fontId="32" numFmtId="0" xfId="0" applyAlignment="1" applyBorder="1" applyFont="1">
      <alignment horizontal="center" shrinkToFit="0" vertical="center" wrapText="1"/>
    </xf>
    <xf borderId="28" fillId="7" fontId="29" numFmtId="0" xfId="0" applyAlignment="1" applyBorder="1" applyFont="1">
      <alignment horizontal="center" readingOrder="1" shrinkToFit="0" vertical="center" wrapText="1"/>
    </xf>
    <xf borderId="28" fillId="7" fontId="29" numFmtId="49" xfId="0" applyAlignment="1" applyBorder="1" applyFont="1" applyNumberFormat="1">
      <alignment horizontal="center" readingOrder="0" shrinkToFit="0" vertical="center" wrapText="1"/>
    </xf>
    <xf borderId="80" fillId="7" fontId="29" numFmtId="16" xfId="0" applyAlignment="1" applyBorder="1" applyFont="1" applyNumberFormat="1">
      <alignment horizontal="center" readingOrder="1" shrinkToFit="0" vertical="center" wrapText="1"/>
    </xf>
    <xf borderId="44" fillId="7" fontId="16" numFmtId="0" xfId="0" applyAlignment="1" applyBorder="1" applyFont="1">
      <alignment horizontal="center" readingOrder="0" vertical="center"/>
    </xf>
    <xf borderId="84" fillId="2" fontId="29" numFmtId="0" xfId="0" applyAlignment="1" applyBorder="1" applyFont="1">
      <alignment horizontal="center" readingOrder="1" shrinkToFit="0" vertical="center" wrapText="1"/>
    </xf>
    <xf borderId="44" fillId="7" fontId="4" numFmtId="20" xfId="0" applyAlignment="1" applyBorder="1" applyFont="1" applyNumberFormat="1">
      <alignment horizontal="center" readingOrder="1" shrinkToFit="0" vertical="center" wrapText="1"/>
    </xf>
    <xf borderId="44" fillId="20" fontId="16" numFmtId="0" xfId="0" applyAlignment="1" applyBorder="1" applyFont="1">
      <alignment horizontal="center" readingOrder="0" vertical="center"/>
    </xf>
    <xf borderId="78" fillId="20" fontId="47" numFmtId="0" xfId="0" applyAlignment="1" applyBorder="1" applyFont="1">
      <alignment horizontal="center" readingOrder="0" shrinkToFit="0" vertical="center" wrapText="1"/>
    </xf>
    <xf borderId="85" fillId="0" fontId="6" numFmtId="0" xfId="0" applyBorder="1" applyFont="1"/>
    <xf borderId="44" fillId="7" fontId="29" numFmtId="20" xfId="0" applyAlignment="1" applyBorder="1" applyFont="1" applyNumberFormat="1">
      <alignment horizontal="center" readingOrder="1" shrinkToFit="0" vertical="center" wrapText="1"/>
    </xf>
    <xf borderId="44" fillId="7" fontId="47" numFmtId="0" xfId="0" applyAlignment="1" applyBorder="1" applyFont="1">
      <alignment horizontal="center" readingOrder="0" shrinkToFit="0" vertical="center" wrapText="1"/>
    </xf>
    <xf borderId="0" fillId="45" fontId="29" numFmtId="0" xfId="0" applyAlignment="1" applyFill="1" applyFont="1">
      <alignment horizontal="center" readingOrder="1" shrinkToFit="0" vertical="center" wrapText="1"/>
    </xf>
    <xf borderId="0" fillId="45" fontId="19" numFmtId="0" xfId="0" applyFont="1"/>
    <xf borderId="86" fillId="2" fontId="29" numFmtId="0" xfId="0" applyAlignment="1" applyBorder="1" applyFont="1">
      <alignment horizontal="center" readingOrder="1" shrinkToFit="0" vertical="center" wrapText="1"/>
    </xf>
    <xf borderId="87" fillId="45" fontId="29" numFmtId="0" xfId="0" applyAlignment="1" applyBorder="1" applyFont="1">
      <alignment horizontal="center" readingOrder="1" shrinkToFit="0" vertical="center" wrapText="1"/>
    </xf>
    <xf borderId="28" fillId="45" fontId="8" numFmtId="0" xfId="0" applyAlignment="1" applyBorder="1" applyFont="1">
      <alignment horizontal="center" readingOrder="1" shrinkToFit="0" vertical="center" wrapText="1"/>
    </xf>
    <xf borderId="28" fillId="45" fontId="29" numFmtId="0" xfId="0" applyAlignment="1" applyBorder="1" applyFont="1">
      <alignment horizontal="center" readingOrder="1" shrinkToFit="0" vertical="center" wrapText="1"/>
    </xf>
    <xf borderId="28" fillId="45" fontId="29" numFmtId="20" xfId="0" applyAlignment="1" applyBorder="1" applyFont="1" applyNumberFormat="1">
      <alignment horizontal="center" readingOrder="1" shrinkToFit="0" vertical="center" wrapText="1"/>
    </xf>
    <xf borderId="80" fillId="45" fontId="29" numFmtId="20" xfId="0" applyAlignment="1" applyBorder="1" applyFont="1" applyNumberFormat="1">
      <alignment horizontal="center" readingOrder="1" shrinkToFit="0" vertical="center" wrapText="1"/>
    </xf>
    <xf borderId="78" fillId="7" fontId="16" numFmtId="0" xfId="0" applyAlignment="1" applyBorder="1" applyFont="1">
      <alignment horizontal="center" readingOrder="0" shrinkToFit="0" vertical="center" wrapText="1"/>
    </xf>
    <xf borderId="88" fillId="0" fontId="6" numFmtId="0" xfId="0" applyBorder="1" applyFont="1"/>
    <xf borderId="0" fillId="7" fontId="29" numFmtId="20" xfId="0" applyAlignment="1" applyFont="1" applyNumberFormat="1">
      <alignment horizontal="center" readingOrder="1" shrinkToFit="0" vertical="center" wrapText="1"/>
    </xf>
    <xf borderId="0" fillId="7" fontId="4" numFmtId="0" xfId="0" applyAlignment="1" applyFont="1">
      <alignment horizontal="center"/>
    </xf>
    <xf borderId="64" fillId="0" fontId="32" numFmtId="0" xfId="0" applyAlignment="1" applyBorder="1" applyFont="1">
      <alignment horizontal="center" shrinkToFit="0" vertical="center" wrapText="1"/>
    </xf>
    <xf borderId="64" fillId="0" fontId="29" numFmtId="0" xfId="0" applyAlignment="1" applyBorder="1" applyFont="1">
      <alignment horizontal="center" readingOrder="1" shrinkToFit="0" vertical="center" wrapText="1"/>
    </xf>
    <xf borderId="64" fillId="0" fontId="29" numFmtId="49" xfId="0" applyAlignment="1" applyBorder="1" applyFont="1" applyNumberFormat="1">
      <alignment horizontal="center" readingOrder="1" shrinkToFit="0" vertical="center" wrapText="1"/>
    </xf>
    <xf borderId="48" fillId="0" fontId="29" numFmtId="16" xfId="0" applyAlignment="1" applyBorder="1" applyFont="1" applyNumberFormat="1">
      <alignment horizontal="center" readingOrder="1" shrinkToFit="0" vertical="center" wrapText="1"/>
    </xf>
    <xf borderId="44" fillId="0" fontId="19" numFmtId="0" xfId="0" applyAlignment="1" applyBorder="1" applyFont="1">
      <alignment horizontal="center" vertical="center"/>
    </xf>
    <xf borderId="44" fillId="0" fontId="16" numFmtId="0" xfId="0" applyAlignment="1" applyBorder="1" applyFont="1">
      <alignment horizontal="center" readingOrder="0"/>
    </xf>
    <xf borderId="89" fillId="2" fontId="29" numFmtId="166" xfId="0" applyAlignment="1" applyBorder="1" applyFont="1" applyNumberFormat="1">
      <alignment horizontal="center" readingOrder="1" shrinkToFit="0" vertical="center" wrapText="1"/>
    </xf>
    <xf borderId="48" fillId="0" fontId="8" numFmtId="20" xfId="0" applyAlignment="1" applyBorder="1" applyFont="1" applyNumberFormat="1">
      <alignment horizontal="center" readingOrder="1" shrinkToFit="0" vertical="center" wrapText="1"/>
    </xf>
    <xf borderId="64" fillId="0" fontId="8" numFmtId="0" xfId="0" applyAlignment="1" applyBorder="1" applyFont="1">
      <alignment horizontal="center" readingOrder="1" shrinkToFit="0" vertical="center" wrapText="1"/>
    </xf>
    <xf borderId="0" fillId="7" fontId="8" numFmtId="0" xfId="0" applyAlignment="1" applyFont="1">
      <alignment horizontal="center" readingOrder="0"/>
    </xf>
    <xf borderId="0" fillId="7" fontId="4" numFmtId="166" xfId="0" applyAlignment="1" applyFont="1" applyNumberFormat="1">
      <alignment horizontal="center" readingOrder="1" shrinkToFit="0" vertical="center" wrapText="1"/>
    </xf>
    <xf borderId="0" fillId="7" fontId="8" numFmtId="166" xfId="0" applyAlignment="1" applyFont="1" applyNumberFormat="1">
      <alignment horizontal="center" readingOrder="1" shrinkToFit="0" vertical="center" wrapText="1"/>
    </xf>
    <xf borderId="0" fillId="7" fontId="31" numFmtId="166" xfId="0" applyAlignment="1" applyFont="1" applyNumberFormat="1">
      <alignment horizontal="center" readingOrder="1" shrinkToFit="0" vertical="center" wrapText="1"/>
    </xf>
    <xf borderId="0" fillId="7" fontId="9" numFmtId="166" xfId="0" applyAlignment="1" applyFont="1" applyNumberFormat="1">
      <alignment horizontal="center" readingOrder="1" shrinkToFit="0" vertical="center" wrapText="1"/>
    </xf>
    <xf borderId="0" fillId="7" fontId="57" numFmtId="0" xfId="0" applyAlignment="1" applyFont="1">
      <alignment horizontal="center" shrinkToFit="0" wrapText="1"/>
    </xf>
    <xf borderId="0" fillId="7" fontId="11" numFmtId="0" xfId="0" applyFont="1"/>
    <xf borderId="0" fillId="7" fontId="8" numFmtId="0" xfId="0" applyAlignment="1" applyFont="1">
      <alignment horizontal="center" readingOrder="1" shrinkToFit="0" vertical="center" wrapText="1"/>
    </xf>
    <xf borderId="90" fillId="10" fontId="4" numFmtId="0" xfId="0" applyAlignment="1" applyBorder="1" applyFont="1">
      <alignment horizontal="left" readingOrder="0" shrinkToFit="0" vertical="center" wrapText="1"/>
    </xf>
    <xf borderId="91" fillId="0" fontId="6" numFmtId="0" xfId="0" applyBorder="1" applyFont="1"/>
    <xf borderId="1" fillId="10" fontId="29" numFmtId="166" xfId="0" applyAlignment="1" applyBorder="1" applyFont="1" applyNumberFormat="1">
      <alignment horizontal="center" readingOrder="1" shrinkToFit="0" vertical="center" wrapText="1"/>
    </xf>
    <xf borderId="1" fillId="10" fontId="4" numFmtId="0" xfId="0" applyAlignment="1" applyBorder="1" applyFont="1">
      <alignment horizontal="center" readingOrder="1" shrinkToFit="0" vertical="center" wrapText="1"/>
    </xf>
    <xf borderId="1" fillId="10" fontId="61" numFmtId="0" xfId="0" applyAlignment="1" applyBorder="1" applyFont="1">
      <alignment horizontal="center"/>
    </xf>
    <xf borderId="17" fillId="10" fontId="73" numFmtId="0" xfId="0" applyAlignment="1" applyBorder="1" applyFont="1">
      <alignment horizontal="center"/>
    </xf>
    <xf borderId="44" fillId="41" fontId="56" numFmtId="0" xfId="0" applyAlignment="1" applyBorder="1" applyFont="1">
      <alignment horizontal="center" vertical="center"/>
    </xf>
    <xf borderId="47" fillId="41" fontId="56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shrinkToFit="0" vertical="center" wrapText="1"/>
    </xf>
    <xf borderId="14" fillId="0" fontId="30" numFmtId="0" xfId="0" applyAlignment="1" applyBorder="1" applyFont="1">
      <alignment horizontal="center" readingOrder="1" shrinkToFit="0" vertical="center" wrapText="1"/>
    </xf>
    <xf borderId="14" fillId="0" fontId="29" numFmtId="20" xfId="0" applyAlignment="1" applyBorder="1" applyFont="1" applyNumberFormat="1">
      <alignment horizontal="center" readingOrder="1" shrinkToFit="0" vertical="center" wrapText="1"/>
    </xf>
    <xf borderId="8" fillId="0" fontId="9" numFmtId="166" xfId="0" applyAlignment="1" applyBorder="1" applyFont="1" applyNumberFormat="1">
      <alignment horizontal="center" readingOrder="1" shrinkToFit="0" vertical="center" wrapText="1"/>
    </xf>
    <xf borderId="8" fillId="19" fontId="32" numFmtId="20" xfId="0" applyAlignment="1" applyBorder="1" applyFont="1" applyNumberFormat="1">
      <alignment horizontal="center" readingOrder="1" shrinkToFit="0" vertical="center" wrapText="1"/>
    </xf>
    <xf borderId="47" fillId="15" fontId="11" numFmtId="169" xfId="0" applyAlignment="1" applyBorder="1" applyFont="1" applyNumberFormat="1">
      <alignment horizontal="center" vertical="center"/>
    </xf>
    <xf borderId="92" fillId="15" fontId="11" numFmtId="169" xfId="0" applyAlignment="1" applyBorder="1" applyFont="1" applyNumberFormat="1">
      <alignment horizontal="center" vertical="center"/>
    </xf>
    <xf borderId="0" fillId="15" fontId="4" numFmtId="20" xfId="0" applyAlignment="1" applyFont="1" applyNumberFormat="1">
      <alignment horizontal="center" readingOrder="1" shrinkToFit="0" vertical="center" wrapText="1"/>
    </xf>
    <xf borderId="44" fillId="15" fontId="24" numFmtId="0" xfId="0" applyAlignment="1" applyBorder="1" applyFont="1">
      <alignment horizontal="center" readingOrder="0" shrinkToFit="0" wrapText="1"/>
    </xf>
    <xf borderId="44" fillId="15" fontId="60" numFmtId="169" xfId="0" applyAlignment="1" applyBorder="1" applyFont="1" applyNumberFormat="1">
      <alignment horizontal="center" shrinkToFit="0" wrapText="1"/>
    </xf>
    <xf borderId="1" fillId="10" fontId="71" numFmtId="0" xfId="0" applyAlignment="1" applyBorder="1" applyFont="1">
      <alignment horizontal="left" shrinkToFit="0" vertical="center" wrapText="1"/>
    </xf>
    <xf borderId="1" fillId="10" fontId="29" numFmtId="0" xfId="0" applyAlignment="1" applyBorder="1" applyFont="1">
      <alignment horizontal="center" readingOrder="1" shrinkToFit="0" vertical="center" wrapText="1"/>
    </xf>
    <xf borderId="0" fillId="7" fontId="4" numFmtId="20" xfId="0" applyAlignment="1" applyFont="1" applyNumberFormat="1">
      <alignment horizontal="center" readingOrder="1" shrinkToFit="0" vertical="center" wrapText="1"/>
    </xf>
    <xf borderId="17" fillId="10" fontId="74" numFmtId="0" xfId="0" applyAlignment="1" applyBorder="1" applyFont="1">
      <alignment horizontal="center"/>
    </xf>
    <xf borderId="93" fillId="3" fontId="27" numFmtId="0" xfId="0" applyAlignment="1" applyBorder="1" applyFont="1">
      <alignment horizontal="center" vertical="center"/>
    </xf>
    <xf borderId="83" fillId="0" fontId="6" numFmtId="0" xfId="0" applyBorder="1" applyFont="1"/>
    <xf borderId="94" fillId="0" fontId="6" numFmtId="0" xfId="0" applyBorder="1" applyFont="1"/>
    <xf borderId="95" fillId="0" fontId="26" numFmtId="0" xfId="0" applyBorder="1" applyFont="1"/>
    <xf borderId="44" fillId="46" fontId="56" numFmtId="0" xfId="0" applyAlignment="1" applyBorder="1" applyFill="1" applyFont="1">
      <alignment horizontal="center" vertical="center"/>
    </xf>
    <xf borderId="92" fillId="46" fontId="56" numFmtId="0" xfId="0" applyAlignment="1" applyBorder="1" applyFont="1">
      <alignment horizontal="center" vertical="center"/>
    </xf>
    <xf borderId="96" fillId="46" fontId="8" numFmtId="0" xfId="0" applyAlignment="1" applyBorder="1" applyFont="1">
      <alignment horizontal="left" shrinkToFit="0" vertical="center" wrapText="1"/>
    </xf>
    <xf borderId="96" fillId="46" fontId="8" numFmtId="0" xfId="0" applyAlignment="1" applyBorder="1" applyFont="1">
      <alignment horizontal="center" shrinkToFit="0" vertical="center" wrapText="1"/>
    </xf>
    <xf borderId="95" fillId="18" fontId="38" numFmtId="0" xfId="0" applyAlignment="1" applyBorder="1" applyFont="1">
      <alignment horizontal="center" shrinkToFit="0" vertical="center" wrapText="1"/>
    </xf>
    <xf borderId="95" fillId="46" fontId="8" numFmtId="0" xfId="0" applyAlignment="1" applyBorder="1" applyFont="1">
      <alignment horizontal="center" shrinkToFit="0" vertical="center" wrapText="1"/>
    </xf>
    <xf borderId="44" fillId="15" fontId="4" numFmtId="0" xfId="0" applyAlignment="1" applyBorder="1" applyFont="1">
      <alignment horizontal="center" readingOrder="0" vertical="center"/>
    </xf>
    <xf borderId="44" fillId="15" fontId="4" numFmtId="169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horizontal="center" shrinkToFit="0" vertical="center" wrapText="1"/>
    </xf>
    <xf borderId="7" fillId="0" fontId="30" numFmtId="0" xfId="0" applyAlignment="1" applyBorder="1" applyFont="1">
      <alignment horizontal="center" readingOrder="1" shrinkToFit="0" vertical="center" wrapText="1"/>
    </xf>
    <xf borderId="7" fillId="0" fontId="29" numFmtId="20" xfId="0" applyAlignment="1" applyBorder="1" applyFont="1" applyNumberFormat="1">
      <alignment horizontal="center" readingOrder="1" shrinkToFit="0" vertical="center" wrapText="1"/>
    </xf>
    <xf borderId="6" fillId="0" fontId="9" numFmtId="166" xfId="0" applyAlignment="1" applyBorder="1" applyFont="1" applyNumberFormat="1">
      <alignment horizontal="center" readingOrder="1" shrinkToFit="0" vertical="center" wrapText="1"/>
    </xf>
    <xf borderId="52" fillId="18" fontId="29" numFmtId="166" xfId="0" applyAlignment="1" applyBorder="1" applyFont="1" applyNumberFormat="1">
      <alignment horizontal="center" readingOrder="1" shrinkToFit="0" vertical="center" wrapText="1"/>
    </xf>
    <xf borderId="7" fillId="19" fontId="29" numFmtId="0" xfId="0" applyAlignment="1" applyBorder="1" applyFont="1">
      <alignment horizontal="center" readingOrder="1" shrinkToFit="0" vertical="center" wrapText="1"/>
    </xf>
    <xf borderId="6" fillId="19" fontId="8" numFmtId="0" xfId="0" applyAlignment="1" applyBorder="1" applyFont="1">
      <alignment horizontal="center" readingOrder="1" shrinkToFit="0" vertical="center" wrapText="1"/>
    </xf>
    <xf borderId="97" fillId="19" fontId="29" numFmtId="20" xfId="0" applyAlignment="1" applyBorder="1" applyFont="1" applyNumberFormat="1">
      <alignment horizontal="center" readingOrder="1" shrinkToFit="0" vertical="center" wrapText="1"/>
    </xf>
    <xf borderId="95" fillId="19" fontId="32" numFmtId="20" xfId="0" applyAlignment="1" applyBorder="1" applyFont="1" applyNumberFormat="1">
      <alignment horizontal="center" readingOrder="1" shrinkToFit="0" vertical="center" wrapText="1"/>
    </xf>
    <xf borderId="6" fillId="41" fontId="9" numFmtId="0" xfId="0" applyAlignment="1" applyBorder="1" applyFont="1">
      <alignment horizontal="center" readingOrder="0" shrinkToFit="0" vertical="center" wrapText="1"/>
    </xf>
    <xf borderId="44" fillId="15" fontId="4" numFmtId="169" xfId="0" applyAlignment="1" applyBorder="1" applyFont="1" applyNumberFormat="1">
      <alignment horizontal="center" readingOrder="0" vertical="center"/>
    </xf>
    <xf borderId="95" fillId="7" fontId="70" numFmtId="20" xfId="0" applyAlignment="1" applyBorder="1" applyFont="1" applyNumberFormat="1">
      <alignment horizontal="center" readingOrder="1" shrinkToFit="0" vertical="center" wrapText="1"/>
    </xf>
    <xf borderId="6" fillId="16" fontId="9" numFmtId="166" xfId="0" applyAlignment="1" applyBorder="1" applyFont="1" applyNumberFormat="1">
      <alignment horizontal="center" readingOrder="1" shrinkToFit="0" vertical="center" wrapText="1"/>
    </xf>
    <xf borderId="6" fillId="10" fontId="9" numFmtId="166" xfId="0" applyAlignment="1" applyBorder="1" applyFont="1" applyNumberFormat="1">
      <alignment horizontal="center" readingOrder="1" shrinkToFit="0" vertical="center" wrapText="1"/>
    </xf>
    <xf borderId="44" fillId="15" fontId="4" numFmtId="0" xfId="0" applyAlignment="1" applyBorder="1" applyFont="1">
      <alignment horizontal="center" readingOrder="0"/>
    </xf>
    <xf borderId="1" fillId="10" fontId="9" numFmtId="20" xfId="0" applyAlignment="1" applyBorder="1" applyFont="1" applyNumberFormat="1">
      <alignment horizontal="center" readingOrder="1" shrinkToFit="0" vertical="center" wrapText="1"/>
    </xf>
    <xf borderId="6" fillId="10" fontId="60" numFmtId="0" xfId="0" applyAlignment="1" applyBorder="1" applyFont="1">
      <alignment horizontal="center" vertical="center"/>
    </xf>
    <xf borderId="98" fillId="10" fontId="31" numFmtId="20" xfId="0" applyAlignment="1" applyBorder="1" applyFont="1" applyNumberFormat="1">
      <alignment horizontal="center" readingOrder="1" shrinkToFit="0" vertical="center" wrapText="1"/>
    </xf>
    <xf borderId="99" fillId="10" fontId="8" numFmtId="20" xfId="0" applyAlignment="1" applyBorder="1" applyFont="1" applyNumberFormat="1">
      <alignment horizontal="center" readingOrder="1" shrinkToFit="0" vertical="center" wrapText="1"/>
    </xf>
    <xf borderId="44" fillId="0" fontId="47" numFmtId="0" xfId="0" applyAlignment="1" applyBorder="1" applyFont="1">
      <alignment horizontal="center" readingOrder="0"/>
    </xf>
    <xf borderId="44" fillId="0" fontId="28" numFmtId="169" xfId="0" applyAlignment="1" applyBorder="1" applyFont="1" applyNumberFormat="1">
      <alignment horizontal="center"/>
    </xf>
    <xf borderId="0" fillId="0" fontId="47" numFmtId="0" xfId="0" applyAlignment="1" applyFont="1">
      <alignment readingOrder="0"/>
    </xf>
    <xf borderId="78" fillId="28" fontId="56" numFmtId="0" xfId="0" applyAlignment="1" applyBorder="1" applyFont="1">
      <alignment horizontal="center" vertical="center"/>
    </xf>
    <xf borderId="92" fillId="28" fontId="56" numFmtId="0" xfId="0" applyAlignment="1" applyBorder="1" applyFont="1">
      <alignment horizontal="center" vertical="center"/>
    </xf>
    <xf borderId="8" fillId="19" fontId="4" numFmtId="0" xfId="0" applyAlignment="1" applyBorder="1" applyFont="1">
      <alignment horizontal="center" readingOrder="1" shrinkToFit="0" vertical="center" wrapText="1"/>
    </xf>
    <xf borderId="8" fillId="15" fontId="4" numFmtId="0" xfId="0" applyAlignment="1" applyBorder="1" applyFont="1">
      <alignment horizontal="center" readingOrder="1" shrinkToFit="0" vertical="center" wrapText="1"/>
    </xf>
    <xf borderId="8" fillId="15" fontId="4" numFmtId="0" xfId="0" applyAlignment="1" applyBorder="1" applyFont="1">
      <alignment horizontal="center" readingOrder="0" vertical="center"/>
    </xf>
    <xf borderId="8" fillId="15" fontId="4" numFmtId="169" xfId="0" applyAlignment="1" applyBorder="1" applyFont="1" applyNumberFormat="1">
      <alignment horizontal="center" readingOrder="0" vertical="center"/>
    </xf>
    <xf borderId="8" fillId="15" fontId="4" numFmtId="169" xfId="0" applyAlignment="1" applyBorder="1" applyFont="1" applyNumberFormat="1">
      <alignment horizontal="center" vertical="center"/>
    </xf>
    <xf borderId="8" fillId="0" fontId="9" numFmtId="0" xfId="0" applyAlignment="1" applyBorder="1" applyFont="1">
      <alignment horizontal="center" readingOrder="0" shrinkToFit="0" vertical="center" wrapText="1"/>
    </xf>
    <xf borderId="8" fillId="7" fontId="30" numFmtId="0" xfId="0" applyAlignment="1" applyBorder="1" applyFont="1">
      <alignment horizontal="center" readingOrder="0" shrinkToFit="0" vertical="center" wrapText="1"/>
    </xf>
    <xf borderId="8" fillId="16" fontId="31" numFmtId="0" xfId="0" applyAlignment="1" applyBorder="1" applyFont="1">
      <alignment horizontal="center" readingOrder="1" shrinkToFit="0" vertical="center" wrapText="1"/>
    </xf>
    <xf borderId="8" fillId="16" fontId="8" numFmtId="0" xfId="0" applyAlignment="1" applyBorder="1" applyFont="1">
      <alignment horizontal="center" readingOrder="1" shrinkToFit="0" vertical="center" wrapText="1"/>
    </xf>
    <xf borderId="8" fillId="15" fontId="16" numFmtId="0" xfId="0" applyAlignment="1" applyBorder="1" applyFont="1">
      <alignment horizontal="center" readingOrder="0"/>
    </xf>
    <xf borderId="30" fillId="10" fontId="71" numFmtId="0" xfId="0" applyAlignment="1" applyBorder="1" applyFont="1">
      <alignment horizontal="left" shrinkToFit="0" vertical="center" wrapText="1"/>
    </xf>
    <xf borderId="30" fillId="0" fontId="31" numFmtId="0" xfId="0" applyAlignment="1" applyBorder="1" applyFont="1">
      <alignment horizontal="center" readingOrder="1" shrinkToFit="0" vertical="center" wrapText="1"/>
    </xf>
    <xf borderId="8" fillId="0" fontId="8" numFmtId="0" xfId="0" applyAlignment="1" applyBorder="1" applyFont="1">
      <alignment horizontal="center" readingOrder="1" shrinkToFit="0" vertical="center" wrapText="1"/>
    </xf>
    <xf borderId="0" fillId="0" fontId="19" numFmtId="169" xfId="0" applyFont="1" applyNumberFormat="1"/>
    <xf borderId="100" fillId="3" fontId="27" numFmtId="0" xfId="0" applyAlignment="1" applyBorder="1" applyFont="1">
      <alignment horizontal="center" vertical="center"/>
    </xf>
    <xf borderId="101" fillId="0" fontId="6" numFmtId="0" xfId="0" applyBorder="1" applyFont="1"/>
    <xf borderId="102" fillId="0" fontId="6" numFmtId="0" xfId="0" applyBorder="1" applyFont="1"/>
    <xf borderId="95" fillId="46" fontId="8" numFmtId="0" xfId="0" applyAlignment="1" applyBorder="1" applyFont="1">
      <alignment horizontal="left" shrinkToFit="0" vertical="center" wrapText="1"/>
    </xf>
    <xf borderId="95" fillId="46" fontId="9" numFmtId="0" xfId="0" applyAlignment="1" applyBorder="1" applyFont="1">
      <alignment horizontal="center" shrinkToFit="0" vertical="center" wrapText="1"/>
    </xf>
    <xf borderId="95" fillId="18" fontId="8" numFmtId="0" xfId="0" applyAlignment="1" applyBorder="1" applyFont="1">
      <alignment horizontal="center" shrinkToFit="0" vertical="center" wrapText="1"/>
    </xf>
    <xf borderId="103" fillId="0" fontId="4" numFmtId="0" xfId="0" applyAlignment="1" applyBorder="1" applyFont="1">
      <alignment horizontal="center" shrinkToFit="0" vertical="center" wrapText="1"/>
    </xf>
    <xf borderId="103" fillId="0" fontId="29" numFmtId="0" xfId="0" applyAlignment="1" applyBorder="1" applyFont="1">
      <alignment horizontal="center" readingOrder="1" shrinkToFit="0" vertical="center" wrapText="1"/>
    </xf>
    <xf borderId="103" fillId="0" fontId="30" numFmtId="0" xfId="0" applyAlignment="1" applyBorder="1" applyFont="1">
      <alignment horizontal="center" readingOrder="1" shrinkToFit="0" vertical="center" wrapText="1"/>
    </xf>
    <xf borderId="103" fillId="0" fontId="29" numFmtId="20" xfId="0" applyAlignment="1" applyBorder="1" applyFont="1" applyNumberFormat="1">
      <alignment horizontal="center" readingOrder="1" shrinkToFit="0" vertical="center" wrapText="1"/>
    </xf>
    <xf borderId="95" fillId="7" fontId="8" numFmtId="0" xfId="0" applyAlignment="1" applyBorder="1" applyFont="1">
      <alignment horizontal="center" readingOrder="0" shrinkToFit="0" vertical="center" wrapText="1"/>
    </xf>
    <xf borderId="95" fillId="18" fontId="29" numFmtId="166" xfId="0" applyAlignment="1" applyBorder="1" applyFont="1" applyNumberFormat="1">
      <alignment horizontal="center" readingOrder="1" shrinkToFit="0" vertical="center" wrapText="1"/>
    </xf>
    <xf borderId="103" fillId="19" fontId="29" numFmtId="0" xfId="0" applyAlignment="1" applyBorder="1" applyFont="1">
      <alignment horizontal="center" readingOrder="1" shrinkToFit="0" vertical="center" wrapText="1"/>
    </xf>
    <xf borderId="95" fillId="19" fontId="8" numFmtId="0" xfId="0" applyAlignment="1" applyBorder="1" applyFont="1">
      <alignment horizontal="center" readingOrder="1" shrinkToFit="0" vertical="center" wrapText="1"/>
    </xf>
    <xf borderId="95" fillId="19" fontId="31" numFmtId="20" xfId="0" applyAlignment="1" applyBorder="1" applyFont="1" applyNumberFormat="1">
      <alignment horizontal="center" readingOrder="1" shrinkToFit="0" vertical="center" wrapText="1"/>
    </xf>
    <xf borderId="95" fillId="19" fontId="4" numFmtId="0" xfId="0" applyAlignment="1" applyBorder="1" applyFont="1">
      <alignment horizontal="center" readingOrder="1" shrinkToFit="0" vertical="center" wrapText="1"/>
    </xf>
    <xf borderId="104" fillId="0" fontId="6" numFmtId="0" xfId="0" applyBorder="1" applyFont="1"/>
    <xf borderId="0" fillId="8" fontId="8" numFmtId="0" xfId="0" applyAlignment="1" applyFont="1">
      <alignment horizontal="center" readingOrder="0" vertical="center"/>
    </xf>
    <xf borderId="105" fillId="0" fontId="6" numFmtId="0" xfId="0" applyBorder="1" applyFont="1"/>
    <xf borderId="95" fillId="19" fontId="4" numFmtId="20" xfId="0" applyAlignment="1" applyBorder="1" applyFont="1" applyNumberFormat="1">
      <alignment horizontal="center" readingOrder="1" shrinkToFit="0" vertical="center" wrapText="1"/>
    </xf>
    <xf borderId="95" fillId="4" fontId="8" numFmtId="0" xfId="0" applyAlignment="1" applyBorder="1" applyFont="1">
      <alignment horizontal="center" readingOrder="1" shrinkToFit="0" vertical="center" wrapText="1"/>
    </xf>
    <xf borderId="95" fillId="4" fontId="29" numFmtId="0" xfId="0" applyAlignment="1" applyBorder="1" applyFont="1">
      <alignment horizontal="left" readingOrder="1" shrinkToFit="0" vertical="center" wrapText="1"/>
    </xf>
    <xf borderId="95" fillId="4" fontId="31" numFmtId="20" xfId="0" applyAlignment="1" applyBorder="1" applyFont="1" applyNumberFormat="1">
      <alignment horizontal="center" readingOrder="1" shrinkToFit="0" vertical="center" wrapText="1"/>
    </xf>
    <xf borderId="95" fillId="4" fontId="4" numFmtId="20" xfId="0" applyAlignment="1" applyBorder="1" applyFont="1" applyNumberFormat="1">
      <alignment horizontal="center" readingOrder="1" shrinkToFit="0" vertical="center" wrapText="1"/>
    </xf>
    <xf borderId="95" fillId="8" fontId="8" numFmtId="0" xfId="0" applyAlignment="1" applyBorder="1" applyFont="1">
      <alignment horizontal="center" readingOrder="1" shrinkToFit="0" vertical="center" wrapText="1"/>
    </xf>
    <xf borderId="95" fillId="4" fontId="4" numFmtId="20" xfId="0" applyAlignment="1" applyBorder="1" applyFont="1" applyNumberFormat="1">
      <alignment horizontal="left" readingOrder="1" shrinkToFit="0" vertical="center" wrapText="1"/>
    </xf>
    <xf borderId="8" fillId="7" fontId="14" numFmtId="0" xfId="0" applyAlignment="1" applyBorder="1" applyFont="1">
      <alignment horizontal="center" readingOrder="0"/>
    </xf>
    <xf borderId="8" fillId="7" fontId="4" numFmtId="169" xfId="0" applyAlignment="1" applyBorder="1" applyFont="1" applyNumberFormat="1">
      <alignment horizontal="center" readingOrder="0" vertical="center"/>
    </xf>
    <xf borderId="8" fillId="7" fontId="4" numFmtId="169" xfId="0" applyAlignment="1" applyBorder="1" applyFont="1" applyNumberFormat="1">
      <alignment horizontal="center" vertical="center"/>
    </xf>
    <xf borderId="95" fillId="0" fontId="8" numFmtId="166" xfId="0" applyAlignment="1" applyBorder="1" applyFont="1" applyNumberFormat="1">
      <alignment horizontal="center" readingOrder="1" shrinkToFit="0" vertical="center" wrapText="1"/>
    </xf>
    <xf borderId="8" fillId="15" fontId="14" numFmtId="0" xfId="0" applyAlignment="1" applyBorder="1" applyFont="1">
      <alignment horizontal="center" readingOrder="0"/>
    </xf>
    <xf borderId="8" fillId="8" fontId="31" numFmtId="0" xfId="0" applyAlignment="1" applyBorder="1" applyFont="1">
      <alignment horizontal="center" readingOrder="1" shrinkToFit="0" vertical="center" wrapText="1"/>
    </xf>
    <xf borderId="95" fillId="0" fontId="4" numFmtId="0" xfId="0" applyAlignment="1" applyBorder="1" applyFont="1">
      <alignment horizontal="center" shrinkToFit="0" vertical="center" wrapText="1"/>
    </xf>
    <xf borderId="95" fillId="0" fontId="29" numFmtId="0" xfId="0" applyAlignment="1" applyBorder="1" applyFont="1">
      <alignment horizontal="center" readingOrder="1" shrinkToFit="0" vertical="center" wrapText="1"/>
    </xf>
    <xf borderId="95" fillId="0" fontId="30" numFmtId="0" xfId="0" applyAlignment="1" applyBorder="1" applyFont="1">
      <alignment horizontal="center" readingOrder="1" shrinkToFit="0" vertical="center" wrapText="1"/>
    </xf>
    <xf borderId="95" fillId="3" fontId="31" numFmtId="20" xfId="0" applyAlignment="1" applyBorder="1" applyFont="1" applyNumberFormat="1">
      <alignment horizontal="center" readingOrder="1" shrinkToFit="0" vertical="center" wrapText="1"/>
    </xf>
    <xf borderId="95" fillId="3" fontId="8" numFmtId="166" xfId="0" applyAlignment="1" applyBorder="1" applyFont="1" applyNumberFormat="1">
      <alignment horizontal="center" readingOrder="1" shrinkToFit="0" vertical="center" wrapText="1"/>
    </xf>
    <xf borderId="95" fillId="19" fontId="29" numFmtId="0" xfId="0" applyAlignment="1" applyBorder="1" applyFont="1">
      <alignment horizontal="center" readingOrder="1" shrinkToFit="0" vertical="center" wrapText="1"/>
    </xf>
    <xf borderId="95" fillId="3" fontId="8" numFmtId="0" xfId="0" applyAlignment="1" applyBorder="1" applyFont="1">
      <alignment horizontal="center" readingOrder="1" shrinkToFit="0" vertical="center" wrapText="1"/>
    </xf>
    <xf borderId="8" fillId="15" fontId="75" numFmtId="0" xfId="0" applyAlignment="1" applyBorder="1" applyFont="1">
      <alignment horizontal="center"/>
    </xf>
    <xf borderId="103" fillId="0" fontId="29" numFmtId="0" xfId="0" applyAlignment="1" applyBorder="1" applyFont="1">
      <alignment horizontal="center" readingOrder="1" shrinkToFit="0" vertical="center" wrapText="1"/>
    </xf>
    <xf borderId="8" fillId="0" fontId="75" numFmtId="0" xfId="0" applyAlignment="1" applyBorder="1" applyFont="1">
      <alignment horizontal="center"/>
    </xf>
    <xf borderId="95" fillId="4" fontId="32" numFmtId="20" xfId="0" applyAlignment="1" applyBorder="1" applyFont="1" applyNumberFormat="1">
      <alignment horizontal="center" readingOrder="1" shrinkToFit="0" vertical="center" wrapText="1"/>
    </xf>
    <xf borderId="17" fillId="47" fontId="76" numFmtId="0" xfId="0" applyAlignment="1" applyBorder="1" applyFill="1" applyFont="1">
      <alignment horizontal="center"/>
    </xf>
    <xf borderId="1" fillId="4" fontId="77" numFmtId="0" xfId="0" applyBorder="1" applyFont="1"/>
    <xf borderId="17" fillId="48" fontId="76" numFmtId="0" xfId="0" applyAlignment="1" applyBorder="1" applyFill="1" applyFont="1">
      <alignment horizontal="center"/>
    </xf>
    <xf borderId="1" fillId="4" fontId="77" numFmtId="0" xfId="0" applyAlignment="1" applyBorder="1" applyFont="1">
      <alignment horizontal="center"/>
    </xf>
    <xf borderId="17" fillId="39" fontId="76" numFmtId="0" xfId="0" applyAlignment="1" applyBorder="1" applyFont="1">
      <alignment horizontal="center"/>
    </xf>
    <xf borderId="1" fillId="4" fontId="11" numFmtId="0" xfId="0" applyBorder="1" applyFont="1"/>
    <xf borderId="106" fillId="0" fontId="78" numFmtId="0" xfId="0" applyAlignment="1" applyBorder="1" applyFont="1">
      <alignment horizontal="center"/>
    </xf>
    <xf borderId="1" fillId="4" fontId="11" numFmtId="0" xfId="0" applyAlignment="1" applyBorder="1" applyFont="1">
      <alignment horizontal="center"/>
    </xf>
    <xf borderId="106" fillId="0" fontId="79" numFmtId="0" xfId="0" applyAlignment="1" applyBorder="1" applyFont="1">
      <alignment horizontal="center"/>
    </xf>
    <xf borderId="106" fillId="0" fontId="80" numFmtId="0" xfId="0" applyAlignment="1" applyBorder="1" applyFont="1">
      <alignment horizontal="center"/>
    </xf>
    <xf borderId="106" fillId="0" fontId="81" numFmtId="0" xfId="0" applyAlignment="1" applyBorder="1" applyFont="1">
      <alignment horizontal="center"/>
    </xf>
    <xf borderId="106" fillId="0" fontId="82" numFmtId="0" xfId="0" applyAlignment="1" applyBorder="1" applyFont="1">
      <alignment horizontal="center"/>
    </xf>
    <xf borderId="106" fillId="0" fontId="83" numFmtId="0" xfId="0" applyAlignment="1" applyBorder="1" applyFont="1">
      <alignment horizontal="center"/>
    </xf>
    <xf borderId="107" fillId="49" fontId="76" numFmtId="0" xfId="0" applyAlignment="1" applyBorder="1" applyFill="1" applyFont="1">
      <alignment horizontal="center" vertical="center"/>
    </xf>
    <xf borderId="108" fillId="0" fontId="6" numFmtId="0" xfId="0" applyBorder="1" applyFont="1"/>
    <xf borderId="109" fillId="0" fontId="6" numFmtId="0" xfId="0" applyBorder="1" applyFont="1"/>
    <xf borderId="1" fillId="4" fontId="77" numFmtId="0" xfId="0" applyAlignment="1" applyBorder="1" applyFont="1">
      <alignment horizontal="center" vertical="center"/>
    </xf>
    <xf borderId="107" fillId="50" fontId="76" numFmtId="0" xfId="0" applyAlignment="1" applyBorder="1" applyFill="1" applyFont="1">
      <alignment horizontal="center" vertical="center"/>
    </xf>
    <xf borderId="110" fillId="51" fontId="76" numFmtId="0" xfId="0" applyAlignment="1" applyBorder="1" applyFill="1" applyFont="1">
      <alignment horizontal="center" vertical="center"/>
    </xf>
    <xf borderId="106" fillId="0" fontId="84" numFmtId="0" xfId="0" applyAlignment="1" applyBorder="1" applyFont="1">
      <alignment horizontal="center"/>
    </xf>
    <xf borderId="111" fillId="0" fontId="85" numFmtId="0" xfId="0" applyAlignment="1" applyBorder="1" applyFont="1">
      <alignment horizontal="center"/>
    </xf>
    <xf borderId="106" fillId="0" fontId="85" numFmtId="0" xfId="0" applyAlignment="1" applyBorder="1" applyFont="1">
      <alignment horizontal="center"/>
    </xf>
    <xf borderId="111" fillId="0" fontId="86" numFmtId="0" xfId="0" applyAlignment="1" applyBorder="1" applyFont="1">
      <alignment horizontal="center"/>
    </xf>
    <xf borderId="8" fillId="0" fontId="84" numFmtId="0" xfId="0" applyAlignment="1" applyBorder="1" applyFont="1">
      <alignment horizontal="center"/>
    </xf>
    <xf borderId="8" fillId="0" fontId="87" numFmtId="0" xfId="0" applyAlignment="1" applyBorder="1" applyFont="1">
      <alignment horizontal="center"/>
    </xf>
    <xf borderId="30" fillId="0" fontId="86" numFmtId="0" xfId="0" applyAlignment="1" applyBorder="1" applyFont="1">
      <alignment horizontal="center"/>
    </xf>
    <xf borderId="106" fillId="10" fontId="86" numFmtId="0" xfId="0" applyAlignment="1" applyBorder="1" applyFont="1">
      <alignment horizontal="center"/>
    </xf>
    <xf borderId="8" fillId="0" fontId="47" numFmtId="0" xfId="0" applyAlignment="1" applyBorder="1" applyFont="1">
      <alignment horizontal="center" readingOrder="0"/>
    </xf>
    <xf borderId="14" fillId="28" fontId="16" numFmtId="0" xfId="0" applyAlignment="1" applyBorder="1" applyFont="1">
      <alignment horizontal="center" readingOrder="0" shrinkToFit="0" vertical="center" wrapText="1"/>
    </xf>
    <xf borderId="14" fillId="28" fontId="16" numFmtId="167" xfId="0" applyAlignment="1" applyBorder="1" applyFont="1" applyNumberFormat="1">
      <alignment horizontal="center" readingOrder="0" shrinkToFit="0" vertical="center" wrapText="1"/>
    </xf>
    <xf borderId="8" fillId="28" fontId="16" numFmtId="0" xfId="0" applyAlignment="1" applyBorder="1" applyFont="1">
      <alignment horizontal="center" readingOrder="0" shrinkToFit="0" vertical="center" wrapText="1"/>
    </xf>
    <xf borderId="14" fillId="25" fontId="16" numFmtId="0" xfId="0" applyAlignment="1" applyBorder="1" applyFont="1">
      <alignment horizontal="center" readingOrder="0" shrinkToFit="0" vertical="center" wrapText="1"/>
    </xf>
    <xf borderId="14" fillId="25" fontId="16" numFmtId="170" xfId="0" applyAlignment="1" applyBorder="1" applyFont="1" applyNumberFormat="1">
      <alignment horizontal="center" readingOrder="0" shrinkToFit="0" vertical="center" wrapText="1"/>
    </xf>
    <xf borderId="8" fillId="25" fontId="16" numFmtId="0" xfId="0" applyAlignment="1" applyBorder="1" applyFont="1">
      <alignment horizontal="center" readingOrder="0" shrinkToFit="0" vertical="center" wrapText="1"/>
    </xf>
    <xf borderId="14" fillId="25" fontId="16" numFmtId="0" xfId="0" applyAlignment="1" applyBorder="1" applyFont="1">
      <alignment horizontal="center" readingOrder="0" vertical="center"/>
    </xf>
    <xf borderId="14" fillId="7" fontId="16" numFmtId="0" xfId="0" applyAlignment="1" applyBorder="1" applyFont="1">
      <alignment horizontal="center" readingOrder="0" shrinkToFit="0" vertical="center" wrapText="1"/>
    </xf>
    <xf borderId="14" fillId="7" fontId="16" numFmtId="167" xfId="0" applyAlignment="1" applyBorder="1" applyFont="1" applyNumberFormat="1">
      <alignment horizontal="center" readingOrder="0" shrinkToFit="0" vertical="center" wrapText="1"/>
    </xf>
    <xf borderId="8" fillId="7" fontId="16" numFmtId="0" xfId="0" applyAlignment="1" applyBorder="1" applyFont="1">
      <alignment horizontal="center" readingOrder="0" shrinkToFit="0" vertical="center" wrapText="1"/>
    </xf>
    <xf borderId="14" fillId="7" fontId="16" numFmtId="0" xfId="0" applyAlignment="1" applyBorder="1" applyFont="1">
      <alignment horizontal="center" readingOrder="0" vertical="center"/>
    </xf>
    <xf borderId="14" fillId="15" fontId="16" numFmtId="0" xfId="0" applyAlignment="1" applyBorder="1" applyFont="1">
      <alignment horizontal="center" readingOrder="0" shrinkToFit="0" vertical="center" wrapText="1"/>
    </xf>
    <xf borderId="14" fillId="15" fontId="16" numFmtId="167" xfId="0" applyAlignment="1" applyBorder="1" applyFont="1" applyNumberFormat="1">
      <alignment horizontal="center" readingOrder="0" shrinkToFit="0" vertical="center" wrapText="1"/>
    </xf>
    <xf borderId="8" fillId="15" fontId="16" numFmtId="0" xfId="0" applyAlignment="1" applyBorder="1" applyFont="1">
      <alignment horizontal="center" readingOrder="0" shrinkToFit="0" vertical="center" wrapText="1"/>
    </xf>
    <xf borderId="14" fillId="52" fontId="16" numFmtId="0" xfId="0" applyAlignment="1" applyBorder="1" applyFill="1" applyFont="1">
      <alignment horizontal="center" readingOrder="0" vertical="center"/>
    </xf>
    <xf borderId="14" fillId="52" fontId="16" numFmtId="0" xfId="0" applyAlignment="1" applyBorder="1" applyFont="1">
      <alignment horizontal="center" readingOrder="0" shrinkToFit="0" vertical="center" wrapText="1"/>
    </xf>
    <xf borderId="0" fillId="0" fontId="88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6" fontId="7" numFmtId="0" xfId="0" applyAlignment="1" applyFont="1">
      <alignment readingOrder="0" shrinkToFit="0" vertical="bottom" wrapText="0"/>
    </xf>
    <xf borderId="112" fillId="6" fontId="7" numFmtId="0" xfId="0" applyAlignment="1" applyBorder="1" applyFont="1">
      <alignment readingOrder="0" shrinkToFit="0" vertical="bottom" wrapText="0"/>
    </xf>
    <xf borderId="8" fillId="6" fontId="7" numFmtId="0" xfId="0" applyAlignment="1" applyBorder="1" applyFont="1">
      <alignment shrinkToFit="0" vertical="bottom" wrapText="0"/>
    </xf>
    <xf borderId="8" fillId="53" fontId="7" numFmtId="0" xfId="0" applyAlignment="1" applyBorder="1" applyFill="1" applyFont="1">
      <alignment horizontal="center" readingOrder="0" shrinkToFit="0" vertical="center" wrapText="1"/>
    </xf>
    <xf borderId="8" fillId="34" fontId="7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8" fillId="0" fontId="89" numFmtId="0" xfId="0" applyAlignment="1" applyBorder="1" applyFont="1">
      <alignment horizontal="center" readingOrder="0" shrinkToFit="0" vertical="center" wrapText="1"/>
    </xf>
    <xf borderId="8" fillId="0" fontId="89" numFmtId="170" xfId="0" applyAlignment="1" applyBorder="1" applyFont="1" applyNumberFormat="1">
      <alignment horizontal="center" readingOrder="0" shrinkToFit="0" vertical="center" wrapText="1"/>
    </xf>
    <xf borderId="8" fillId="0" fontId="89" numFmtId="20" xfId="0" applyAlignment="1" applyBorder="1" applyFont="1" applyNumberFormat="1">
      <alignment horizontal="center" readingOrder="0" shrinkToFit="0" vertical="center" wrapText="1"/>
    </xf>
    <xf borderId="8" fillId="0" fontId="90" numFmtId="0" xfId="0" applyAlignment="1" applyBorder="1" applyFont="1">
      <alignment horizontal="center" readingOrder="0" shrinkToFit="0" vertical="center" wrapText="1"/>
    </xf>
    <xf borderId="8" fillId="0" fontId="91" numFmtId="170" xfId="0" applyAlignment="1" applyBorder="1" applyFont="1" applyNumberFormat="1">
      <alignment horizontal="center" readingOrder="0" shrinkToFit="0" vertical="center" wrapText="1"/>
    </xf>
    <xf borderId="8" fillId="0" fontId="91" numFmtId="20" xfId="0" applyAlignment="1" applyBorder="1" applyFont="1" applyNumberFormat="1">
      <alignment horizontal="center" readingOrder="0" shrinkToFit="0" vertical="center" wrapText="1"/>
    </xf>
    <xf borderId="8" fillId="0" fontId="92" numFmtId="0" xfId="0" applyAlignment="1" applyBorder="1" applyFont="1">
      <alignment horizontal="center" readingOrder="0" shrinkToFit="0" vertical="center" wrapText="1"/>
    </xf>
    <xf borderId="0" fillId="0" fontId="19" numFmtId="0" xfId="0" applyAlignment="1" applyFont="1">
      <alignment shrinkToFit="0" vertical="center" wrapText="1"/>
    </xf>
    <xf borderId="8" fillId="0" fontId="16" numFmtId="0" xfId="0" applyAlignment="1" applyBorder="1" applyFont="1">
      <alignment horizontal="center" readingOrder="0" shrinkToFit="0" vertical="center" wrapText="1"/>
    </xf>
    <xf borderId="8" fillId="0" fontId="16" numFmtId="170" xfId="0" applyAlignment="1" applyBorder="1" applyFont="1" applyNumberFormat="1">
      <alignment horizontal="center" readingOrder="0" shrinkToFit="0" vertical="center" wrapText="1"/>
    </xf>
    <xf borderId="8" fillId="0" fontId="19" numFmtId="0" xfId="0" applyAlignment="1" applyBorder="1" applyFont="1">
      <alignment horizontal="center" shrinkToFit="0" vertical="center" wrapText="1"/>
    </xf>
    <xf borderId="0" fillId="0" fontId="61" numFmtId="0" xfId="0" applyAlignment="1" applyFont="1">
      <alignment horizontal="center"/>
    </xf>
    <xf borderId="0" fillId="0" fontId="55" numFmtId="0" xfId="0" applyAlignment="1" applyFont="1">
      <alignment horizontal="center" vertical="center"/>
    </xf>
    <xf borderId="1" fillId="18" fontId="93" numFmtId="0" xfId="0" applyAlignment="1" applyBorder="1" applyFont="1">
      <alignment horizontal="center" shrinkToFit="0" vertical="center" wrapText="1"/>
    </xf>
    <xf borderId="1" fillId="54" fontId="26" numFmtId="0" xfId="0" applyBorder="1" applyFill="1" applyFont="1"/>
    <xf borderId="5" fillId="54" fontId="26" numFmtId="0" xfId="0" applyBorder="1" applyFont="1"/>
    <xf borderId="40" fillId="54" fontId="94" numFmtId="0" xfId="0" applyAlignment="1" applyBorder="1" applyFont="1">
      <alignment horizontal="center" vertical="center"/>
    </xf>
    <xf borderId="113" fillId="0" fontId="11" numFmtId="0" xfId="0" applyAlignment="1" applyBorder="1" applyFont="1">
      <alignment horizontal="center" shrinkToFit="0" vertical="center" wrapText="1"/>
    </xf>
    <xf borderId="113" fillId="0" fontId="11" numFmtId="169" xfId="0" applyAlignment="1" applyBorder="1" applyFont="1" applyNumberFormat="1">
      <alignment horizontal="center" shrinkToFit="0" vertical="center" wrapText="1"/>
    </xf>
    <xf borderId="113" fillId="0" fontId="12" numFmtId="0" xfId="0" applyAlignment="1" applyBorder="1" applyFont="1">
      <alignment horizontal="center" shrinkToFit="0" vertical="center" wrapText="1"/>
    </xf>
    <xf borderId="5" fillId="54" fontId="93" numFmtId="0" xfId="0" applyAlignment="1" applyBorder="1" applyFont="1">
      <alignment horizontal="left" shrinkToFit="0" vertical="center" wrapText="1"/>
    </xf>
    <xf borderId="5" fillId="54" fontId="93" numFmtId="0" xfId="0" applyAlignment="1" applyBorder="1" applyFont="1">
      <alignment horizontal="center" shrinkToFit="0" vertical="center" wrapText="1"/>
    </xf>
    <xf borderId="5" fillId="54" fontId="95" numFmtId="0" xfId="0" applyAlignment="1" applyBorder="1" applyFont="1">
      <alignment horizontal="center" shrinkToFit="0" vertical="center" wrapText="1"/>
    </xf>
    <xf borderId="103" fillId="54" fontId="26" numFmtId="0" xfId="0" applyAlignment="1" applyBorder="1" applyFont="1">
      <alignment horizontal="center" shrinkToFit="0" vertical="center" wrapText="1"/>
    </xf>
    <xf borderId="114" fillId="54" fontId="96" numFmtId="0" xfId="0" applyAlignment="1" applyBorder="1" applyFont="1">
      <alignment horizontal="center" readingOrder="1" shrinkToFit="0" vertical="center" wrapText="1"/>
    </xf>
    <xf borderId="96" fillId="54" fontId="97" numFmtId="0" xfId="0" applyAlignment="1" applyBorder="1" applyFont="1">
      <alignment horizontal="center" readingOrder="1" shrinkToFit="0" vertical="center" wrapText="1"/>
    </xf>
    <xf borderId="96" fillId="54" fontId="97" numFmtId="20" xfId="0" applyAlignment="1" applyBorder="1" applyFont="1" applyNumberFormat="1">
      <alignment horizontal="center" readingOrder="1" shrinkToFit="0" vertical="center" wrapText="1"/>
    </xf>
    <xf borderId="96" fillId="54" fontId="98" numFmtId="166" xfId="0" applyAlignment="1" applyBorder="1" applyFont="1" applyNumberFormat="1">
      <alignment horizontal="center" readingOrder="1" shrinkToFit="0" vertical="center" wrapText="1"/>
    </xf>
    <xf borderId="95" fillId="54" fontId="97" numFmtId="166" xfId="0" applyAlignment="1" applyBorder="1" applyFont="1" applyNumberFormat="1">
      <alignment horizontal="center" readingOrder="1" shrinkToFit="0" vertical="center" wrapText="1"/>
    </xf>
    <xf borderId="95" fillId="54" fontId="97" numFmtId="0" xfId="0" applyAlignment="1" applyBorder="1" applyFont="1">
      <alignment horizontal="center" readingOrder="1" shrinkToFit="0" vertical="center" wrapText="1"/>
    </xf>
    <xf borderId="95" fillId="54" fontId="26" numFmtId="0" xfId="0" applyAlignment="1" applyBorder="1" applyFont="1">
      <alignment horizontal="center" readingOrder="1" shrinkToFit="0" vertical="center" wrapText="1"/>
    </xf>
    <xf borderId="95" fillId="54" fontId="26" numFmtId="20" xfId="0" applyAlignment="1" applyBorder="1" applyFont="1" applyNumberFormat="1">
      <alignment horizontal="center" readingOrder="1" shrinkToFit="0" vertical="center" wrapText="1"/>
    </xf>
    <xf borderId="115" fillId="55" fontId="17" numFmtId="0" xfId="0" applyAlignment="1" applyBorder="1" applyFill="1" applyFont="1">
      <alignment horizontal="center" vertical="center"/>
    </xf>
    <xf borderId="116" fillId="0" fontId="6" numFmtId="0" xfId="0" applyBorder="1" applyFont="1"/>
    <xf borderId="5" fillId="43" fontId="60" numFmtId="0" xfId="0" applyAlignment="1" applyBorder="1" applyFont="1">
      <alignment horizontal="center" vertical="center"/>
    </xf>
    <xf borderId="5" fillId="43" fontId="60" numFmtId="169" xfId="0" applyAlignment="1" applyBorder="1" applyFont="1" applyNumberFormat="1">
      <alignment horizontal="center" vertical="center"/>
    </xf>
    <xf borderId="117" fillId="0" fontId="6" numFmtId="0" xfId="0" applyBorder="1" applyFont="1"/>
    <xf borderId="51" fillId="54" fontId="97" numFmtId="0" xfId="0" applyAlignment="1" applyBorder="1" applyFont="1">
      <alignment horizontal="center" readingOrder="1" shrinkToFit="0" vertical="center" wrapText="1"/>
    </xf>
    <xf borderId="51" fillId="54" fontId="97" numFmtId="20" xfId="0" applyAlignment="1" applyBorder="1" applyFont="1" applyNumberFormat="1">
      <alignment horizontal="center" readingOrder="1" shrinkToFit="0" vertical="center" wrapText="1"/>
    </xf>
    <xf borderId="51" fillId="54" fontId="98" numFmtId="166" xfId="0" applyAlignment="1" applyBorder="1" applyFont="1" applyNumberFormat="1">
      <alignment horizontal="center" readingOrder="1" shrinkToFit="0" vertical="center" wrapText="1"/>
    </xf>
    <xf borderId="97" fillId="54" fontId="97" numFmtId="166" xfId="0" applyAlignment="1" applyBorder="1" applyFont="1" applyNumberFormat="1">
      <alignment horizontal="center" readingOrder="1" shrinkToFit="0" vertical="center" wrapText="1"/>
    </xf>
    <xf borderId="0" fillId="0" fontId="11" numFmtId="0" xfId="0" applyAlignment="1" applyFont="1">
      <alignment horizontal="center" shrinkToFit="0" vertical="center" wrapText="1"/>
    </xf>
    <xf borderId="70" fillId="54" fontId="26" numFmtId="0" xfId="0" applyAlignment="1" applyBorder="1" applyFont="1">
      <alignment horizontal="center" shrinkToFit="0" vertical="center" wrapText="1"/>
    </xf>
    <xf borderId="118" fillId="0" fontId="6" numFmtId="0" xfId="0" applyBorder="1" applyFont="1"/>
    <xf borderId="1" fillId="54" fontId="98" numFmtId="166" xfId="0" applyAlignment="1" applyBorder="1" applyFont="1" applyNumberFormat="1">
      <alignment horizontal="center" readingOrder="1" shrinkToFit="0" vertical="center" wrapText="1"/>
    </xf>
    <xf borderId="1" fillId="54" fontId="97" numFmtId="166" xfId="0" applyAlignment="1" applyBorder="1" applyFont="1" applyNumberFormat="1">
      <alignment horizontal="center" readingOrder="1" shrinkToFit="0" vertical="center" wrapText="1"/>
    </xf>
    <xf borderId="20" fillId="54" fontId="11" numFmtId="0" xfId="0" applyAlignment="1" applyBorder="1" applyFont="1">
      <alignment horizontal="center" vertical="center"/>
    </xf>
    <xf borderId="51" fillId="54" fontId="11" numFmtId="0" xfId="0" applyAlignment="1" applyBorder="1" applyFont="1">
      <alignment horizontal="center" shrinkToFit="0" vertical="center" wrapText="1"/>
    </xf>
    <xf borderId="0" fillId="0" fontId="60" numFmtId="0" xfId="0" applyAlignment="1" applyFont="1">
      <alignment horizontal="center" vertical="center"/>
    </xf>
    <xf borderId="0" fillId="0" fontId="60" numFmtId="169" xfId="0" applyAlignment="1" applyFont="1" applyNumberFormat="1">
      <alignment horizontal="center" vertical="center"/>
    </xf>
    <xf borderId="20" fillId="54" fontId="71" numFmtId="0" xfId="0" applyAlignment="1" applyBorder="1" applyFont="1">
      <alignment horizontal="left" shrinkToFit="0" vertical="center" wrapText="1"/>
    </xf>
    <xf borderId="1" fillId="54" fontId="97" numFmtId="0" xfId="0" applyAlignment="1" applyBorder="1" applyFont="1">
      <alignment horizontal="center" readingOrder="1" shrinkToFit="0" vertical="center" wrapText="1"/>
    </xf>
    <xf borderId="1" fillId="54" fontId="26" numFmtId="0" xfId="0" applyAlignment="1" applyBorder="1" applyFont="1">
      <alignment horizontal="center" readingOrder="1" shrinkToFit="0" vertical="center" wrapText="1"/>
    </xf>
    <xf borderId="1" fillId="54" fontId="26" numFmtId="0" xfId="0" applyAlignment="1" applyBorder="1" applyFont="1">
      <alignment horizontal="center" shrinkToFit="0" vertical="center" wrapText="1"/>
    </xf>
    <xf borderId="1" fillId="54" fontId="97" numFmtId="20" xfId="0" applyAlignment="1" applyBorder="1" applyFont="1" applyNumberFormat="1">
      <alignment horizontal="center" readingOrder="1" shrinkToFit="0" vertical="center" wrapText="1"/>
    </xf>
    <xf borderId="119" fillId="54" fontId="94" numFmtId="0" xfId="0" applyAlignment="1" applyBorder="1" applyFont="1">
      <alignment horizontal="center" vertical="center"/>
    </xf>
    <xf borderId="120" fillId="54" fontId="93" numFmtId="0" xfId="0" applyAlignment="1" applyBorder="1" applyFont="1">
      <alignment horizontal="center" shrinkToFit="0" vertical="center" wrapText="1"/>
    </xf>
    <xf borderId="51" fillId="54" fontId="93" numFmtId="0" xfId="0" applyAlignment="1" applyBorder="1" applyFont="1">
      <alignment horizontal="center" shrinkToFit="0" vertical="center" wrapText="1"/>
    </xf>
    <xf borderId="26" fillId="54" fontId="26" numFmtId="0" xfId="0" applyAlignment="1" applyBorder="1" applyFont="1">
      <alignment horizontal="center" shrinkToFit="0" vertical="center" wrapText="1"/>
    </xf>
    <xf borderId="26" fillId="54" fontId="99" numFmtId="0" xfId="0" applyAlignment="1" applyBorder="1" applyFont="1">
      <alignment horizontal="center" readingOrder="1" shrinkToFit="0" vertical="center" wrapText="1"/>
    </xf>
    <xf borderId="26" fillId="54" fontId="71" numFmtId="166" xfId="0" applyAlignment="1" applyBorder="1" applyFont="1" applyNumberFormat="1">
      <alignment horizontal="center" readingOrder="1" shrinkToFit="0" vertical="center" wrapText="1"/>
    </xf>
    <xf borderId="96" fillId="54" fontId="26" numFmtId="20" xfId="0" applyAlignment="1" applyBorder="1" applyFont="1" applyNumberFormat="1">
      <alignment horizontal="center" readingOrder="1" shrinkToFit="0" vertical="center" wrapText="1"/>
    </xf>
    <xf borderId="121" fillId="54" fontId="26" numFmtId="20" xfId="0" applyAlignment="1" applyBorder="1" applyFont="1" applyNumberFormat="1">
      <alignment horizontal="center" readingOrder="1" shrinkToFit="0" vertical="center" wrapText="1"/>
    </xf>
    <xf borderId="51" fillId="54" fontId="12" numFmtId="0" xfId="0" applyAlignment="1" applyBorder="1" applyFont="1">
      <alignment horizontal="center" vertical="center"/>
    </xf>
    <xf borderId="95" fillId="0" fontId="12" numFmtId="0" xfId="0" applyAlignment="1" applyBorder="1" applyFont="1">
      <alignment horizontal="center" shrinkToFit="0" vertical="center" wrapText="1"/>
    </xf>
    <xf borderId="95" fillId="0" fontId="12" numFmtId="169" xfId="0" applyAlignment="1" applyBorder="1" applyFont="1" applyNumberFormat="1">
      <alignment horizontal="center" shrinkToFit="0" vertical="center" wrapText="1"/>
    </xf>
    <xf borderId="96" fillId="54" fontId="26" numFmtId="0" xfId="0" applyAlignment="1" applyBorder="1" applyFont="1">
      <alignment horizontal="center" readingOrder="1" shrinkToFit="0" vertical="center" wrapText="1"/>
    </xf>
    <xf borderId="51" fillId="54" fontId="26" numFmtId="0" xfId="0" applyAlignment="1" applyBorder="1" applyFont="1">
      <alignment horizontal="center" readingOrder="1" shrinkToFit="0" vertical="center" wrapText="1"/>
    </xf>
    <xf borderId="66" fillId="54" fontId="100" numFmtId="0" xfId="0" applyAlignment="1" applyBorder="1" applyFont="1">
      <alignment horizontal="center" readingOrder="1" shrinkToFit="0" vertical="center" wrapText="1"/>
    </xf>
    <xf borderId="95" fillId="0" fontId="12" numFmtId="0" xfId="0" applyAlignment="1" applyBorder="1" applyFont="1">
      <alignment horizontal="center" vertical="center"/>
    </xf>
    <xf borderId="51" fillId="54" fontId="11" numFmtId="0" xfId="0" applyBorder="1" applyFont="1"/>
    <xf borderId="1" fillId="54" fontId="11" numFmtId="0" xfId="0" applyBorder="1" applyFont="1"/>
    <xf borderId="51" fillId="54" fontId="11" numFmtId="0" xfId="0" applyAlignment="1" applyBorder="1" applyFont="1">
      <alignment horizontal="center" vertical="center"/>
    </xf>
    <xf borderId="95" fillId="0" fontId="12" numFmtId="0" xfId="0" applyAlignment="1" applyBorder="1" applyFont="1">
      <alignment horizontal="center"/>
    </xf>
    <xf borderId="95" fillId="0" fontId="12" numFmtId="169" xfId="0" applyAlignment="1" applyBorder="1" applyFont="1" applyNumberFormat="1">
      <alignment horizontal="center"/>
    </xf>
    <xf borderId="104" fillId="0" fontId="12" numFmtId="0" xfId="0" applyAlignment="1" applyBorder="1" applyFont="1">
      <alignment horizontal="center" shrinkToFit="0" vertical="center" wrapText="1"/>
    </xf>
    <xf borderId="1" fillId="54" fontId="101" numFmtId="0" xfId="0" applyBorder="1" applyFont="1"/>
    <xf borderId="95" fillId="0" fontId="11" numFmtId="0" xfId="0" applyBorder="1" applyFont="1"/>
    <xf borderId="0" fillId="0" fontId="101" numFmtId="0" xfId="0" applyFont="1"/>
    <xf borderId="43" fillId="0" fontId="102" numFmtId="0" xfId="0" applyAlignment="1" applyBorder="1" applyFont="1">
      <alignment horizontal="left" shrinkToFit="0" vertical="center" wrapText="1"/>
    </xf>
    <xf borderId="43" fillId="0" fontId="102" numFmtId="0" xfId="0" applyAlignment="1" applyBorder="1" applyFont="1">
      <alignment horizontal="center" shrinkToFit="0" vertical="center" wrapText="1"/>
    </xf>
    <xf borderId="43" fillId="0" fontId="103" numFmtId="0" xfId="0" applyAlignment="1" applyBorder="1" applyFont="1">
      <alignment horizontal="center" shrinkToFit="0" vertical="center" wrapText="1"/>
    </xf>
    <xf borderId="122" fillId="0" fontId="102" numFmtId="0" xfId="0" applyAlignment="1" applyBorder="1" applyFont="1">
      <alignment horizontal="center" shrinkToFit="0" vertical="center" wrapText="1"/>
    </xf>
    <xf borderId="51" fillId="0" fontId="102" numFmtId="0" xfId="0" applyAlignment="1" applyBorder="1" applyFont="1">
      <alignment horizontal="center" shrinkToFit="0" vertical="center" wrapText="1"/>
    </xf>
    <xf borderId="26" fillId="0" fontId="104" numFmtId="0" xfId="0" applyAlignment="1" applyBorder="1" applyFont="1">
      <alignment horizontal="center" shrinkToFit="0" vertical="center" wrapText="1"/>
    </xf>
    <xf borderId="26" fillId="0" fontId="105" numFmtId="0" xfId="0" applyAlignment="1" applyBorder="1" applyFont="1">
      <alignment horizontal="center" readingOrder="1" shrinkToFit="0" vertical="center" wrapText="1"/>
    </xf>
    <xf borderId="51" fillId="0" fontId="104" numFmtId="0" xfId="0" applyAlignment="1" applyBorder="1" applyFont="1">
      <alignment horizontal="center" readingOrder="1" shrinkToFit="0" vertical="center" wrapText="1"/>
    </xf>
    <xf borderId="26" fillId="0" fontId="104" numFmtId="0" xfId="0" applyAlignment="1" applyBorder="1" applyFont="1">
      <alignment horizontal="center" readingOrder="1" shrinkToFit="0" vertical="center" wrapText="1"/>
    </xf>
    <xf borderId="51" fillId="0" fontId="104" numFmtId="20" xfId="0" applyAlignment="1" applyBorder="1" applyFont="1" applyNumberFormat="1">
      <alignment horizontal="center" readingOrder="1" shrinkToFit="0" vertical="center" wrapText="1"/>
    </xf>
    <xf borderId="26" fillId="0" fontId="106" numFmtId="166" xfId="0" applyAlignment="1" applyBorder="1" applyFont="1" applyNumberFormat="1">
      <alignment horizontal="center" readingOrder="1" shrinkToFit="0" vertical="center" wrapText="1"/>
    </xf>
    <xf borderId="94" fillId="0" fontId="104" numFmtId="166" xfId="0" applyAlignment="1" applyBorder="1" applyFont="1" applyNumberFormat="1">
      <alignment horizontal="center" readingOrder="1" shrinkToFit="0" vertical="center" wrapText="1"/>
    </xf>
    <xf borderId="95" fillId="0" fontId="104" numFmtId="0" xfId="0" applyAlignment="1" applyBorder="1" applyFont="1">
      <alignment horizontal="center" readingOrder="1" shrinkToFit="0" vertical="center" wrapText="1"/>
    </xf>
    <xf borderId="95" fillId="0" fontId="104" numFmtId="20" xfId="0" applyAlignment="1" applyBorder="1" applyFont="1" applyNumberFormat="1">
      <alignment horizontal="center" readingOrder="1" shrinkToFit="0" vertical="center" wrapText="1"/>
    </xf>
    <xf borderId="93" fillId="0" fontId="106" numFmtId="20" xfId="0" applyAlignment="1" applyBorder="1" applyFont="1" applyNumberFormat="1">
      <alignment horizontal="center" readingOrder="1" shrinkToFit="0" vertical="center" wrapText="1"/>
    </xf>
    <xf borderId="51" fillId="0" fontId="104" numFmtId="0" xfId="0" applyAlignment="1" applyBorder="1" applyFont="1">
      <alignment horizontal="center" vertical="center"/>
    </xf>
    <xf borderId="26" fillId="0" fontId="12" numFmtId="0" xfId="0" applyAlignment="1" applyBorder="1" applyFont="1">
      <alignment horizontal="center" shrinkToFit="0" vertical="center" wrapText="1"/>
    </xf>
    <xf borderId="51" fillId="0" fontId="12" numFmtId="169" xfId="0" applyAlignment="1" applyBorder="1" applyFont="1" applyNumberFormat="1">
      <alignment horizontal="center" shrinkToFit="0" vertical="center" wrapText="1"/>
    </xf>
    <xf borderId="51" fillId="0" fontId="12" numFmtId="0" xfId="0" applyAlignment="1" applyBorder="1" applyFont="1">
      <alignment horizontal="center" shrinkToFit="0" vertical="center" wrapText="1"/>
    </xf>
    <xf borderId="103" fillId="0" fontId="104" numFmtId="0" xfId="0" applyAlignment="1" applyBorder="1" applyFont="1">
      <alignment horizontal="center" readingOrder="1" shrinkToFit="0" vertical="center" wrapText="1"/>
    </xf>
    <xf borderId="103" fillId="0" fontId="104" numFmtId="20" xfId="0" applyAlignment="1" applyBorder="1" applyFont="1" applyNumberFormat="1">
      <alignment horizontal="center" readingOrder="1" shrinkToFit="0" vertical="center" wrapText="1"/>
    </xf>
    <xf borderId="123" fillId="0" fontId="107" numFmtId="20" xfId="0" applyAlignment="1" applyBorder="1" applyFont="1" applyNumberFormat="1">
      <alignment horizontal="center" readingOrder="1" shrinkToFit="0" vertical="center" wrapText="1"/>
    </xf>
    <xf borderId="26" fillId="0" fontId="104" numFmtId="0" xfId="0" applyAlignment="1" applyBorder="1" applyFont="1">
      <alignment horizontal="center" vertical="center"/>
    </xf>
    <xf borderId="51" fillId="0" fontId="102" numFmtId="0" xfId="0" applyAlignment="1" applyBorder="1" applyFont="1">
      <alignment horizontal="center" readingOrder="1" shrinkToFit="0" vertical="center" wrapText="1"/>
    </xf>
    <xf borderId="0" fillId="0" fontId="104" numFmtId="166" xfId="0" applyAlignment="1" applyFont="1" applyNumberFormat="1">
      <alignment horizontal="center" readingOrder="1" shrinkToFit="0" vertical="center" wrapText="1"/>
    </xf>
    <xf borderId="30" fillId="0" fontId="105" numFmtId="0" xfId="0" applyAlignment="1" applyBorder="1" applyFont="1">
      <alignment horizontal="center" vertical="center"/>
    </xf>
    <xf borderId="51" fillId="0" fontId="12" numFmtId="0" xfId="0" applyAlignment="1" applyBorder="1" applyFont="1">
      <alignment horizontal="center" vertical="center"/>
    </xf>
    <xf borderId="51" fillId="0" fontId="108" numFmtId="0" xfId="0" applyBorder="1" applyFont="1"/>
    <xf borderId="0" fillId="0" fontId="108" numFmtId="0" xfId="0" applyFont="1"/>
    <xf borderId="64" fillId="0" fontId="104" numFmtId="0" xfId="0" applyAlignment="1" applyBorder="1" applyFont="1">
      <alignment horizontal="center" readingOrder="1" shrinkToFit="0" vertical="center" wrapText="1"/>
    </xf>
    <xf borderId="28" fillId="0" fontId="104" numFmtId="0" xfId="0" applyAlignment="1" applyBorder="1" applyFont="1">
      <alignment horizontal="center" readingOrder="1" shrinkToFit="0" vertical="center" wrapText="1"/>
    </xf>
    <xf borderId="48" fillId="0" fontId="106" numFmtId="0" xfId="0" applyAlignment="1" applyBorder="1" applyFont="1">
      <alignment horizontal="center" readingOrder="1" shrinkToFit="0" vertical="center" wrapText="1"/>
    </xf>
    <xf borderId="51" fillId="0" fontId="12" numFmtId="169" xfId="0" applyAlignment="1" applyBorder="1" applyFont="1" applyNumberFormat="1">
      <alignment horizontal="center" vertical="center"/>
    </xf>
    <xf borderId="20" fillId="0" fontId="108" numFmtId="0" xfId="0" applyAlignment="1" applyBorder="1" applyFont="1">
      <alignment horizontal="center" vertical="center"/>
    </xf>
    <xf borderId="51" fillId="0" fontId="108" numFmtId="0" xfId="0" applyAlignment="1" applyBorder="1" applyFont="1">
      <alignment horizontal="center" shrinkToFit="0" vertical="center" wrapText="1"/>
    </xf>
    <xf borderId="33" fillId="0" fontId="103" numFmtId="0" xfId="0" applyAlignment="1" applyBorder="1" applyFont="1">
      <alignment horizontal="center" readingOrder="1" shrinkToFit="0" vertical="center" wrapText="1"/>
    </xf>
    <xf borderId="20" fillId="0" fontId="109" numFmtId="0" xfId="0" applyAlignment="1" applyBorder="1" applyFont="1">
      <alignment horizontal="left" shrinkToFit="0" vertical="center" wrapText="1"/>
    </xf>
    <xf borderId="20" fillId="0" fontId="57" numFmtId="0" xfId="0" applyAlignment="1" applyBorder="1" applyFont="1">
      <alignment horizontal="center" vertical="center"/>
    </xf>
    <xf borderId="8" fillId="0" fontId="101" numFmtId="0" xfId="0" applyAlignment="1" applyBorder="1" applyFont="1">
      <alignment horizontal="center" shrinkToFit="0" vertical="center" wrapText="1"/>
    </xf>
    <xf borderId="34" fillId="0" fontId="57" numFmtId="0" xfId="0" applyAlignment="1" applyBorder="1" applyFont="1">
      <alignment horizontal="center"/>
    </xf>
    <xf borderId="1" fillId="54" fontId="57" numFmtId="0" xfId="0" applyAlignment="1" applyBorder="1" applyFont="1">
      <alignment horizontal="center"/>
    </xf>
    <xf borderId="0" fillId="0" fontId="57" numFmtId="0" xfId="0" applyAlignment="1" applyFont="1">
      <alignment horizontal="center"/>
    </xf>
    <xf borderId="26" fillId="0" fontId="12" numFmtId="0" xfId="0" applyAlignment="1" applyBorder="1" applyFont="1">
      <alignment horizontal="center" vertical="center"/>
    </xf>
    <xf borderId="124" fillId="55" fontId="17" numFmtId="0" xfId="0" applyAlignment="1" applyBorder="1" applyFont="1">
      <alignment horizontal="center" vertical="center"/>
    </xf>
    <xf borderId="125" fillId="0" fontId="6" numFmtId="0" xfId="0" applyBorder="1" applyFont="1"/>
    <xf borderId="126" fillId="43" fontId="60" numFmtId="0" xfId="0" applyAlignment="1" applyBorder="1" applyFont="1">
      <alignment horizontal="center" vertical="center"/>
    </xf>
    <xf borderId="126" fillId="43" fontId="60" numFmtId="169" xfId="0" applyAlignment="1" applyBorder="1" applyFont="1" applyNumberFormat="1">
      <alignment horizontal="center" vertical="center"/>
    </xf>
    <xf borderId="127" fillId="56" fontId="94" numFmtId="0" xfId="0" applyAlignment="1" applyBorder="1" applyFill="1" applyFont="1">
      <alignment horizontal="center" vertical="center"/>
    </xf>
    <xf borderId="128" fillId="0" fontId="6" numFmtId="0" xfId="0" applyBorder="1" applyFont="1"/>
    <xf borderId="129" fillId="0" fontId="6" numFmtId="0" xfId="0" applyBorder="1" applyFont="1"/>
    <xf borderId="43" fillId="0" fontId="26" numFmtId="0" xfId="0" applyBorder="1" applyFont="1"/>
    <xf borderId="5" fillId="18" fontId="93" numFmtId="0" xfId="0" applyAlignment="1" applyBorder="1" applyFont="1">
      <alignment horizontal="left" shrinkToFit="0" vertical="center" wrapText="1"/>
    </xf>
    <xf borderId="5" fillId="18" fontId="93" numFmtId="0" xfId="0" applyAlignment="1" applyBorder="1" applyFont="1">
      <alignment horizontal="center" shrinkToFit="0" vertical="center" wrapText="1"/>
    </xf>
    <xf borderId="5" fillId="18" fontId="95" numFmtId="0" xfId="0" applyAlignment="1" applyBorder="1" applyFont="1">
      <alignment horizontal="center" shrinkToFit="0" vertical="center" wrapText="1"/>
    </xf>
    <xf borderId="43" fillId="0" fontId="93" numFmtId="0" xfId="0" applyAlignment="1" applyBorder="1" applyFont="1">
      <alignment horizontal="center" shrinkToFit="0" vertical="center" wrapText="1"/>
    </xf>
    <xf borderId="24" fillId="54" fontId="93" numFmtId="0" xfId="0" applyAlignment="1" applyBorder="1" applyFont="1">
      <alignment horizontal="center" shrinkToFit="0" vertical="center" wrapText="1"/>
    </xf>
    <xf borderId="26" fillId="57" fontId="26" numFmtId="0" xfId="0" applyAlignment="1" applyBorder="1" applyFill="1" applyFont="1">
      <alignment horizontal="center" shrinkToFit="0" vertical="center" wrapText="1"/>
    </xf>
    <xf borderId="8" fillId="54" fontId="110" numFmtId="0" xfId="0" applyAlignment="1" applyBorder="1" applyFont="1">
      <alignment horizontal="center" readingOrder="1" shrinkToFit="0" vertical="center" wrapText="1"/>
    </xf>
    <xf borderId="14" fillId="54" fontId="97" numFmtId="0" xfId="0" applyAlignment="1" applyBorder="1" applyFont="1">
      <alignment horizontal="center" readingOrder="1" shrinkToFit="0" vertical="center" wrapText="1"/>
    </xf>
    <xf borderId="8" fillId="54" fontId="97" numFmtId="0" xfId="0" applyAlignment="1" applyBorder="1" applyFont="1">
      <alignment horizontal="center" readingOrder="1" shrinkToFit="0" vertical="center" wrapText="1"/>
    </xf>
    <xf borderId="14" fillId="54" fontId="97" numFmtId="20" xfId="0" applyAlignment="1" applyBorder="1" applyFont="1" applyNumberFormat="1">
      <alignment horizontal="center" readingOrder="1" shrinkToFit="0" vertical="center" wrapText="1"/>
    </xf>
    <xf borderId="130" fillId="54" fontId="100" numFmtId="166" xfId="0" applyAlignment="1" applyBorder="1" applyFont="1" applyNumberFormat="1">
      <alignment horizontal="center" readingOrder="1" shrinkToFit="0" vertical="center" wrapText="1"/>
    </xf>
    <xf borderId="94" fillId="0" fontId="97" numFmtId="166" xfId="0" applyAlignment="1" applyBorder="1" applyFont="1" applyNumberFormat="1">
      <alignment horizontal="center" readingOrder="1" shrinkToFit="0" vertical="center" wrapText="1"/>
    </xf>
    <xf borderId="103" fillId="54" fontId="97" numFmtId="0" xfId="0" applyAlignment="1" applyBorder="1" applyFont="1">
      <alignment horizontal="center" readingOrder="1" shrinkToFit="0" vertical="center" wrapText="1"/>
    </xf>
    <xf borderId="103" fillId="54" fontId="26" numFmtId="0" xfId="0" applyAlignment="1" applyBorder="1" applyFont="1">
      <alignment horizontal="center" readingOrder="1" shrinkToFit="0" vertical="center" wrapText="1"/>
    </xf>
    <xf borderId="114" fillId="54" fontId="26" numFmtId="20" xfId="0" applyAlignment="1" applyBorder="1" applyFont="1" applyNumberFormat="1">
      <alignment horizontal="center" readingOrder="1" shrinkToFit="0" vertical="center" wrapText="1"/>
    </xf>
    <xf borderId="112" fillId="54" fontId="100" numFmtId="20" xfId="0" applyAlignment="1" applyBorder="1" applyFont="1" applyNumberFormat="1">
      <alignment horizontal="center" readingOrder="1" shrinkToFit="0" vertical="center" wrapText="1"/>
    </xf>
    <xf borderId="131" fillId="0" fontId="6" numFmtId="0" xfId="0" applyBorder="1" applyFont="1"/>
    <xf borderId="132" fillId="0" fontId="6" numFmtId="0" xfId="0" applyBorder="1" applyFont="1"/>
    <xf borderId="133" fillId="0" fontId="6" numFmtId="0" xfId="0" applyBorder="1" applyFont="1"/>
    <xf borderId="134" fillId="0" fontId="6" numFmtId="0" xfId="0" applyBorder="1" applyFont="1"/>
    <xf borderId="30" fillId="54" fontId="100" numFmtId="20" xfId="0" applyAlignment="1" applyBorder="1" applyFont="1" applyNumberFormat="1">
      <alignment horizontal="center" readingOrder="1" shrinkToFit="0" vertical="center" wrapText="1"/>
    </xf>
    <xf borderId="8" fillId="6" fontId="110" numFmtId="0" xfId="0" applyAlignment="1" applyBorder="1" applyFont="1">
      <alignment horizontal="center" readingOrder="1" shrinkToFit="0" vertical="center" wrapText="1"/>
    </xf>
    <xf borderId="8" fillId="6" fontId="97" numFmtId="0" xfId="0" applyAlignment="1" applyBorder="1" applyFont="1">
      <alignment horizontal="center" readingOrder="1" shrinkToFit="0" vertical="center" wrapText="1"/>
    </xf>
    <xf borderId="0" fillId="0" fontId="97" numFmtId="166" xfId="0" applyAlignment="1" applyFont="1" applyNumberFormat="1">
      <alignment horizontal="center" readingOrder="1" shrinkToFit="0" vertical="center" wrapText="1"/>
    </xf>
    <xf borderId="135" fillId="54" fontId="100" numFmtId="0" xfId="0" applyAlignment="1" applyBorder="1" applyFont="1">
      <alignment horizontal="center" readingOrder="1" shrinkToFit="0" vertical="center" wrapText="1"/>
    </xf>
    <xf borderId="136" fillId="54" fontId="97" numFmtId="0" xfId="0" applyAlignment="1" applyBorder="1" applyFont="1">
      <alignment horizontal="center" readingOrder="1" shrinkToFit="0" vertical="center" wrapText="1"/>
    </xf>
    <xf borderId="51" fillId="0" fontId="11" numFmtId="0" xfId="0" applyAlignment="1" applyBorder="1" applyFont="1">
      <alignment horizontal="center"/>
    </xf>
    <xf borderId="136" fillId="57" fontId="110" numFmtId="0" xfId="0" applyAlignment="1" applyBorder="1" applyFont="1">
      <alignment horizontal="center" readingOrder="1" shrinkToFit="0" vertical="center" wrapText="1"/>
    </xf>
    <xf borderId="136" fillId="18" fontId="11" numFmtId="0" xfId="0" applyAlignment="1" applyBorder="1" applyFont="1">
      <alignment horizontal="center"/>
    </xf>
    <xf borderId="136" fillId="54" fontId="11" numFmtId="0" xfId="0" applyAlignment="1" applyBorder="1" applyFont="1">
      <alignment horizontal="center"/>
    </xf>
    <xf borderId="137" fillId="0" fontId="6" numFmtId="0" xfId="0" applyBorder="1" applyFont="1"/>
    <xf borderId="51" fillId="54" fontId="101" numFmtId="0" xfId="0" applyAlignment="1" applyBorder="1" applyFont="1">
      <alignment horizontal="center" shrinkToFit="0" vertical="center" wrapText="1"/>
    </xf>
    <xf borderId="21" fillId="0" fontId="11" numFmtId="0" xfId="0" applyAlignment="1" applyBorder="1" applyFont="1">
      <alignment horizontal="center" shrinkToFit="0" vertical="center" wrapText="1"/>
    </xf>
    <xf borderId="20" fillId="57" fontId="11" numFmtId="0" xfId="0" applyAlignment="1" applyBorder="1" applyFont="1">
      <alignment horizontal="center" vertical="center"/>
    </xf>
    <xf borderId="51" fillId="0" fontId="101" numFmtId="0" xfId="0" applyAlignment="1" applyBorder="1" applyFont="1">
      <alignment horizontal="center" vertical="center"/>
    </xf>
    <xf borderId="34" fillId="0" fontId="17" numFmtId="0" xfId="0" applyAlignment="1" applyBorder="1" applyFont="1">
      <alignment horizontal="center" shrinkToFit="0" vertical="center" wrapText="1"/>
    </xf>
    <xf borderId="138" fillId="0" fontId="6" numFmtId="0" xfId="0" applyBorder="1" applyFont="1"/>
    <xf borderId="0" fillId="0" fontId="12" numFmtId="0" xfId="0" applyAlignment="1" applyFont="1">
      <alignment horizontal="center" shrinkToFit="0" vertical="center" wrapText="1"/>
    </xf>
    <xf borderId="20" fillId="0" fontId="110" numFmtId="0" xfId="0" applyAlignment="1" applyBorder="1" applyFont="1">
      <alignment horizontal="left" shrinkToFit="0" vertical="center" wrapText="1"/>
    </xf>
    <xf borderId="0" fillId="0" fontId="12" numFmtId="169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0" fillId="0" fontId="12" numFmtId="169" xfId="0" applyAlignment="1" applyFont="1" applyNumberFormat="1">
      <alignment horizontal="center"/>
    </xf>
    <xf borderId="127" fillId="6" fontId="94" numFmtId="0" xfId="0" applyAlignment="1" applyBorder="1" applyFont="1">
      <alignment horizontal="center" vertical="center"/>
    </xf>
    <xf borderId="5" fillId="6" fontId="26" numFmtId="0" xfId="0" applyBorder="1" applyFont="1"/>
    <xf borderId="119" fillId="6" fontId="94" numFmtId="0" xfId="0" applyAlignment="1" applyBorder="1" applyFont="1">
      <alignment horizontal="center" vertical="center"/>
    </xf>
    <xf borderId="5" fillId="6" fontId="110" numFmtId="0" xfId="0" applyAlignment="1" applyBorder="1" applyFont="1">
      <alignment horizontal="left" shrinkToFit="0" vertical="center" wrapText="1"/>
    </xf>
    <xf borderId="5" fillId="6" fontId="110" numFmtId="0" xfId="0" applyAlignment="1" applyBorder="1" applyFont="1">
      <alignment horizontal="center" shrinkToFit="0" vertical="center" wrapText="1"/>
    </xf>
    <xf borderId="5" fillId="6" fontId="111" numFmtId="0" xfId="0" applyAlignment="1" applyBorder="1" applyFont="1">
      <alignment horizontal="center" shrinkToFit="0" vertical="center" wrapText="1"/>
    </xf>
    <xf borderId="120" fillId="6" fontId="110" numFmtId="0" xfId="0" applyAlignment="1" applyBorder="1" applyFont="1">
      <alignment horizontal="center" shrinkToFit="0" vertical="center" wrapText="1"/>
    </xf>
    <xf borderId="51" fillId="6" fontId="110" numFmtId="0" xfId="0" applyAlignment="1" applyBorder="1" applyFont="1">
      <alignment horizontal="center" shrinkToFit="0" vertical="center" wrapText="1"/>
    </xf>
    <xf borderId="14" fillId="6" fontId="26" numFmtId="0" xfId="0" applyAlignment="1" applyBorder="1" applyFont="1">
      <alignment horizontal="center" shrinkToFit="0" vertical="center" wrapText="1"/>
    </xf>
    <xf borderId="8" fillId="6" fontId="26" numFmtId="0" xfId="0" applyAlignment="1" applyBorder="1" applyFont="1">
      <alignment horizontal="center" readingOrder="1" shrinkToFit="0" vertical="center" wrapText="1"/>
    </xf>
    <xf borderId="8" fillId="6" fontId="26" numFmtId="16" xfId="0" applyAlignment="1" applyBorder="1" applyFont="1" applyNumberFormat="1">
      <alignment horizontal="center" readingOrder="1" shrinkToFit="0" vertical="center" wrapText="1"/>
    </xf>
    <xf borderId="8" fillId="6" fontId="26" numFmtId="20" xfId="0" applyAlignment="1" applyBorder="1" applyFont="1" applyNumberFormat="1">
      <alignment horizontal="center" readingOrder="1" shrinkToFit="0" vertical="center" wrapText="1"/>
    </xf>
    <xf borderId="8" fillId="6" fontId="100" numFmtId="166" xfId="0" applyAlignment="1" applyBorder="1" applyFont="1" applyNumberFormat="1">
      <alignment horizontal="center" readingOrder="1" shrinkToFit="0" vertical="center" wrapText="1"/>
    </xf>
    <xf borderId="52" fillId="6" fontId="26" numFmtId="166" xfId="0" applyAlignment="1" applyBorder="1" applyFont="1" applyNumberFormat="1">
      <alignment horizontal="center" readingOrder="1" shrinkToFit="0" vertical="center" wrapText="1"/>
    </xf>
    <xf borderId="51" fillId="6" fontId="26" numFmtId="0" xfId="0" applyAlignment="1" applyBorder="1" applyFont="1">
      <alignment horizontal="center" readingOrder="1" shrinkToFit="0" vertical="center" wrapText="1"/>
    </xf>
    <xf borderId="97" fillId="6" fontId="26" numFmtId="16" xfId="0" applyAlignment="1" applyBorder="1" applyFont="1" applyNumberFormat="1">
      <alignment horizontal="center" readingOrder="1" shrinkToFit="0" vertical="center" wrapText="1"/>
    </xf>
    <xf borderId="95" fillId="6" fontId="26" numFmtId="20" xfId="0" applyAlignment="1" applyBorder="1" applyFont="1" applyNumberFormat="1">
      <alignment horizontal="center" readingOrder="1" shrinkToFit="0" vertical="center" wrapText="1"/>
    </xf>
    <xf borderId="139" fillId="6" fontId="100" numFmtId="20" xfId="0" applyAlignment="1" applyBorder="1" applyFont="1" applyNumberFormat="1">
      <alignment horizontal="center" readingOrder="1" shrinkToFit="0" vertical="center" wrapText="1"/>
    </xf>
    <xf borderId="51" fillId="6" fontId="12" numFmtId="0" xfId="0" applyAlignment="1" applyBorder="1" applyFont="1">
      <alignment horizontal="center" vertical="center"/>
    </xf>
    <xf borderId="51" fillId="0" fontId="112" numFmtId="0" xfId="0" applyAlignment="1" applyBorder="1" applyFont="1">
      <alignment horizontal="center" shrinkToFit="0" vertical="center" wrapText="1"/>
    </xf>
    <xf borderId="51" fillId="0" fontId="112" numFmtId="169" xfId="0" applyAlignment="1" applyBorder="1" applyFont="1" applyNumberFormat="1">
      <alignment horizontal="center" shrinkToFit="0" vertical="center" wrapText="1"/>
    </xf>
    <xf borderId="96" fillId="6" fontId="26" numFmtId="20" xfId="0" applyAlignment="1" applyBorder="1" applyFont="1" applyNumberFormat="1">
      <alignment horizontal="center" readingOrder="1" shrinkToFit="0" vertical="center" wrapText="1"/>
    </xf>
    <xf borderId="121" fillId="6" fontId="100" numFmtId="20" xfId="0" applyAlignment="1" applyBorder="1" applyFont="1" applyNumberFormat="1">
      <alignment horizontal="center" readingOrder="1" shrinkToFit="0" vertical="center" wrapText="1"/>
    </xf>
    <xf borderId="51" fillId="0" fontId="112" numFmtId="0" xfId="0" applyAlignment="1" applyBorder="1" applyFont="1">
      <alignment horizontal="center" vertical="center"/>
    </xf>
    <xf borderId="8" fillId="6" fontId="26" numFmtId="0" xfId="0" applyAlignment="1" applyBorder="1" applyFont="1">
      <alignment horizontal="center" shrinkToFit="0" vertical="center" wrapText="1"/>
    </xf>
    <xf borderId="140" fillId="6" fontId="11" numFmtId="0" xfId="0" applyAlignment="1" applyBorder="1" applyFont="1">
      <alignment horizontal="center" vertical="center"/>
    </xf>
    <xf borderId="141" fillId="0" fontId="6" numFmtId="0" xfId="0" applyBorder="1" applyFont="1"/>
    <xf borderId="136" fillId="6" fontId="60" numFmtId="0" xfId="0" applyAlignment="1" applyBorder="1" applyFont="1">
      <alignment horizontal="center" vertical="center"/>
    </xf>
    <xf borderId="1" fillId="6" fontId="11" numFmtId="0" xfId="0" applyAlignment="1" applyBorder="1" applyFont="1">
      <alignment horizontal="center"/>
    </xf>
    <xf borderId="1" fillId="6" fontId="11" numFmtId="0" xfId="0" applyBorder="1" applyFont="1"/>
    <xf borderId="17" fillId="58" fontId="61" numFmtId="0" xfId="0" applyAlignment="1" applyBorder="1" applyFill="1" applyFont="1">
      <alignment horizontal="center"/>
    </xf>
    <xf borderId="1" fillId="58" fontId="11" numFmtId="0" xfId="0" applyBorder="1" applyFont="1"/>
    <xf borderId="1" fillId="58" fontId="26" numFmtId="0" xfId="0" applyBorder="1" applyFont="1"/>
    <xf borderId="5" fillId="58" fontId="26" numFmtId="0" xfId="0" applyBorder="1" applyFont="1"/>
    <xf borderId="40" fillId="58" fontId="94" numFmtId="0" xfId="0" applyAlignment="1" applyBorder="1" applyFont="1">
      <alignment horizontal="center" vertical="center"/>
    </xf>
    <xf borderId="5" fillId="58" fontId="93" numFmtId="0" xfId="0" applyAlignment="1" applyBorder="1" applyFont="1">
      <alignment horizontal="left" shrinkToFit="0" vertical="center" wrapText="1"/>
    </xf>
    <xf borderId="5" fillId="58" fontId="93" numFmtId="0" xfId="0" applyAlignment="1" applyBorder="1" applyFont="1">
      <alignment horizontal="center" shrinkToFit="0" vertical="center" wrapText="1"/>
    </xf>
    <xf borderId="5" fillId="58" fontId="95" numFmtId="0" xfId="0" applyAlignment="1" applyBorder="1" applyFont="1">
      <alignment horizontal="center" shrinkToFit="0" vertical="center" wrapText="1"/>
    </xf>
    <xf borderId="8" fillId="58" fontId="26" numFmtId="0" xfId="0" applyAlignment="1" applyBorder="1" applyFont="1">
      <alignment horizontal="center" shrinkToFit="0" vertical="center" wrapText="1"/>
    </xf>
    <xf borderId="8" fillId="58" fontId="96" numFmtId="0" xfId="0" applyAlignment="1" applyBorder="1" applyFont="1">
      <alignment horizontal="center" readingOrder="1" shrinkToFit="0" vertical="center" wrapText="1"/>
    </xf>
    <xf borderId="8" fillId="58" fontId="97" numFmtId="0" xfId="0" applyAlignment="1" applyBorder="1" applyFont="1">
      <alignment horizontal="center" readingOrder="1" shrinkToFit="0" vertical="center" wrapText="1"/>
    </xf>
    <xf borderId="8" fillId="58" fontId="97" numFmtId="20" xfId="0" applyAlignment="1" applyBorder="1" applyFont="1" applyNumberFormat="1">
      <alignment horizontal="center" readingOrder="1" shrinkToFit="0" vertical="center" wrapText="1"/>
    </xf>
    <xf borderId="8" fillId="58" fontId="98" numFmtId="166" xfId="0" applyAlignment="1" applyBorder="1" applyFont="1" applyNumberFormat="1">
      <alignment horizontal="center" readingOrder="1" shrinkToFit="0" vertical="center" wrapText="1"/>
    </xf>
    <xf borderId="97" fillId="58" fontId="97" numFmtId="166" xfId="0" applyAlignment="1" applyBorder="1" applyFont="1" applyNumberFormat="1">
      <alignment horizontal="center" readingOrder="1" shrinkToFit="0" vertical="center" wrapText="1"/>
    </xf>
    <xf borderId="95" fillId="58" fontId="97" numFmtId="0" xfId="0" applyAlignment="1" applyBorder="1" applyFont="1">
      <alignment horizontal="center" readingOrder="1" shrinkToFit="0" vertical="center" wrapText="1"/>
    </xf>
    <xf borderId="95" fillId="58" fontId="26" numFmtId="0" xfId="0" applyAlignment="1" applyBorder="1" applyFont="1">
      <alignment horizontal="center" readingOrder="1" shrinkToFit="0" vertical="center" wrapText="1"/>
    </xf>
    <xf borderId="95" fillId="58" fontId="26" numFmtId="20" xfId="0" applyAlignment="1" applyBorder="1" applyFont="1" applyNumberFormat="1">
      <alignment horizontal="center" readingOrder="1" shrinkToFit="0" vertical="center" wrapText="1"/>
    </xf>
    <xf borderId="70" fillId="58" fontId="26" numFmtId="0" xfId="0" applyAlignment="1" applyBorder="1" applyFont="1">
      <alignment horizontal="center" shrinkToFit="0" vertical="center" wrapText="1"/>
    </xf>
    <xf borderId="1" fillId="58" fontId="98" numFmtId="166" xfId="0" applyAlignment="1" applyBorder="1" applyFont="1" applyNumberFormat="1">
      <alignment horizontal="center" readingOrder="1" shrinkToFit="0" vertical="center" wrapText="1"/>
    </xf>
    <xf borderId="1" fillId="58" fontId="97" numFmtId="166" xfId="0" applyAlignment="1" applyBorder="1" applyFont="1" applyNumberFormat="1">
      <alignment horizontal="center" readingOrder="1" shrinkToFit="0" vertical="center" wrapText="1"/>
    </xf>
    <xf borderId="20" fillId="58" fontId="11" numFmtId="0" xfId="0" applyAlignment="1" applyBorder="1" applyFont="1">
      <alignment horizontal="center" vertical="center"/>
    </xf>
    <xf borderId="51" fillId="58" fontId="11" numFmtId="0" xfId="0" applyAlignment="1" applyBorder="1" applyFont="1">
      <alignment horizontal="center" shrinkToFit="0" vertical="center" wrapText="1"/>
    </xf>
    <xf borderId="20" fillId="58" fontId="111" numFmtId="0" xfId="0" applyAlignment="1" applyBorder="1" applyFont="1">
      <alignment horizontal="left" shrinkToFit="0" vertical="center" wrapText="1"/>
    </xf>
    <xf borderId="1" fillId="58" fontId="97" numFmtId="0" xfId="0" applyAlignment="1" applyBorder="1" applyFont="1">
      <alignment horizontal="center" readingOrder="1" shrinkToFit="0" vertical="center" wrapText="1"/>
    </xf>
    <xf borderId="1" fillId="58" fontId="26" numFmtId="0" xfId="0" applyAlignment="1" applyBorder="1" applyFont="1">
      <alignment horizontal="center" readingOrder="1" shrinkToFit="0" vertical="center" wrapText="1"/>
    </xf>
    <xf borderId="8" fillId="58" fontId="99" numFmtId="0" xfId="0" applyAlignment="1" applyBorder="1" applyFont="1">
      <alignment horizontal="center" readingOrder="1" shrinkToFit="0" vertical="center" wrapText="1"/>
    </xf>
    <xf borderId="30" fillId="58" fontId="26" numFmtId="0" xfId="0" applyAlignment="1" applyBorder="1" applyFont="1">
      <alignment horizontal="center" shrinkToFit="0" vertical="center" wrapText="1"/>
    </xf>
    <xf borderId="1" fillId="6" fontId="26" numFmtId="0" xfId="0" applyBorder="1" applyFont="1"/>
    <xf borderId="40" fillId="6" fontId="94" numFmtId="0" xfId="0" applyAlignment="1" applyBorder="1" applyFont="1">
      <alignment horizontal="center" vertical="center"/>
    </xf>
    <xf borderId="8" fillId="6" fontId="99" numFmtId="0" xfId="0" applyAlignment="1" applyBorder="1" applyFont="1">
      <alignment horizontal="center" readingOrder="1" shrinkToFit="0" vertical="center" wrapText="1"/>
    </xf>
    <xf borderId="8" fillId="6" fontId="71" numFmtId="166" xfId="0" applyAlignment="1" applyBorder="1" applyFont="1" applyNumberFormat="1">
      <alignment horizontal="center" readingOrder="1" shrinkToFit="0" vertical="center" wrapText="1"/>
    </xf>
    <xf borderId="97" fillId="6" fontId="26" numFmtId="166" xfId="0" applyAlignment="1" applyBorder="1" applyFont="1" applyNumberFormat="1">
      <alignment horizontal="center" readingOrder="1" shrinkToFit="0" vertical="center" wrapText="1"/>
    </xf>
    <xf borderId="95" fillId="6" fontId="26" numFmtId="0" xfId="0" applyAlignment="1" applyBorder="1" applyFont="1">
      <alignment horizontal="center" readingOrder="1" shrinkToFit="0" vertical="center" wrapText="1"/>
    </xf>
    <xf borderId="1" fillId="6" fontId="26" numFmtId="166" xfId="0" applyAlignment="1" applyBorder="1" applyFont="1" applyNumberFormat="1">
      <alignment horizontal="center" readingOrder="1" shrinkToFit="0" vertical="center" wrapText="1"/>
    </xf>
    <xf borderId="70" fillId="6" fontId="26" numFmtId="0" xfId="0" applyAlignment="1" applyBorder="1" applyFont="1">
      <alignment horizontal="center" shrinkToFit="0" vertical="center" wrapText="1"/>
    </xf>
    <xf borderId="1" fillId="6" fontId="71" numFmtId="166" xfId="0" applyAlignment="1" applyBorder="1" applyFont="1" applyNumberFormat="1">
      <alignment horizontal="center" readingOrder="1" shrinkToFit="0" vertical="center" wrapText="1"/>
    </xf>
    <xf borderId="20" fillId="6" fontId="11" numFmtId="0" xfId="0" applyAlignment="1" applyBorder="1" applyFont="1">
      <alignment horizontal="center" vertical="center"/>
    </xf>
    <xf borderId="51" fillId="6" fontId="11" numFmtId="0" xfId="0" applyAlignment="1" applyBorder="1" applyFont="1">
      <alignment horizontal="center" shrinkToFit="0" vertical="center" wrapText="1"/>
    </xf>
    <xf borderId="17" fillId="59" fontId="55" numFmtId="0" xfId="0" applyAlignment="1" applyBorder="1" applyFill="1" applyFont="1">
      <alignment horizontal="center"/>
    </xf>
    <xf borderId="6" fillId="60" fontId="56" numFmtId="0" xfId="0" applyAlignment="1" applyBorder="1" applyFill="1" applyFont="1">
      <alignment horizontal="center" vertical="center"/>
    </xf>
    <xf borderId="6" fillId="0" fontId="60" numFmtId="16" xfId="0" applyAlignment="1" applyBorder="1" applyFont="1" applyNumberFormat="1">
      <alignment horizontal="center" vertical="center"/>
    </xf>
    <xf borderId="6" fillId="0" fontId="113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7" fillId="0" fontId="11" numFmtId="169" xfId="0" applyAlignment="1" applyBorder="1" applyFont="1" applyNumberFormat="1">
      <alignment horizontal="center" shrinkToFit="0" vertical="center" wrapText="1"/>
    </xf>
    <xf borderId="7" fillId="0" fontId="11" numFmtId="169" xfId="0" applyAlignment="1" applyBorder="1" applyFont="1" applyNumberFormat="1">
      <alignment horizontal="center" vertical="center"/>
    </xf>
    <xf borderId="142" fillId="0" fontId="60" numFmtId="0" xfId="0" applyAlignment="1" applyBorder="1" applyFont="1">
      <alignment horizontal="center" shrinkToFit="0" vertical="center" wrapText="1"/>
    </xf>
    <xf borderId="143" fillId="0" fontId="101" numFmtId="0" xfId="0" applyAlignment="1" applyBorder="1" applyFont="1">
      <alignment horizontal="center" shrinkToFit="0" vertical="center" wrapText="1"/>
    </xf>
    <xf borderId="143" fillId="0" fontId="57" numFmtId="169" xfId="0" applyAlignment="1" applyBorder="1" applyFont="1" applyNumberFormat="1">
      <alignment horizontal="center" shrinkToFit="0" vertical="center" wrapText="1"/>
    </xf>
    <xf borderId="144" fillId="0" fontId="6" numFmtId="0" xfId="0" applyBorder="1" applyFont="1"/>
    <xf borderId="143" fillId="0" fontId="101" numFmtId="0" xfId="0" applyAlignment="1" applyBorder="1" applyFont="1">
      <alignment horizontal="center" vertical="center"/>
    </xf>
    <xf borderId="143" fillId="0" fontId="57" numFmtId="169" xfId="0" applyAlignment="1" applyBorder="1" applyFont="1" applyNumberFormat="1">
      <alignment horizontal="center" vertical="center"/>
    </xf>
    <xf borderId="145" fillId="0" fontId="6" numFmtId="0" xfId="0" applyBorder="1" applyFont="1"/>
    <xf borderId="143" fillId="56" fontId="56" numFmtId="0" xfId="0" applyAlignment="1" applyBorder="1" applyFont="1">
      <alignment horizontal="center" vertical="center"/>
    </xf>
    <xf borderId="143" fillId="56" fontId="56" numFmtId="169" xfId="0" applyAlignment="1" applyBorder="1" applyFont="1" applyNumberFormat="1">
      <alignment horizontal="center" vertical="center"/>
    </xf>
    <xf borderId="7" fillId="0" fontId="60" numFmtId="16" xfId="0" applyAlignment="1" applyBorder="1" applyFont="1" applyNumberFormat="1">
      <alignment horizontal="center" vertical="center"/>
    </xf>
    <xf borderId="45" fillId="0" fontId="12" numFmtId="0" xfId="0" applyAlignment="1" applyBorder="1" applyFont="1">
      <alignment horizontal="center" shrinkToFit="0" vertical="center" wrapText="1"/>
    </xf>
    <xf borderId="51" fillId="0" fontId="11" numFmtId="0" xfId="0" applyAlignment="1" applyBorder="1" applyFont="1">
      <alignment horizontal="center" shrinkToFit="0" vertical="center" wrapText="1"/>
    </xf>
    <xf borderId="51" fillId="0" fontId="11" numFmtId="169" xfId="0" applyAlignment="1" applyBorder="1" applyFont="1" applyNumberFormat="1">
      <alignment horizontal="center" shrinkToFit="0" vertical="center" wrapText="1"/>
    </xf>
    <xf borderId="51" fillId="0" fontId="11" numFmtId="169" xfId="0" applyAlignment="1" applyBorder="1" applyFont="1" applyNumberFormat="1">
      <alignment horizontal="center" vertical="center"/>
    </xf>
    <xf borderId="0" fillId="0" fontId="60" numFmtId="16" xfId="0" applyAlignment="1" applyFont="1" applyNumberFormat="1">
      <alignment horizontal="center" vertical="center"/>
    </xf>
    <xf borderId="51" fillId="0" fontId="60" numFmtId="169" xfId="0" applyAlignment="1" applyBorder="1" applyFont="1" applyNumberFormat="1">
      <alignment horizontal="right" shrinkToFit="0" vertical="center" wrapText="1"/>
    </xf>
    <xf borderId="145" fillId="0" fontId="101" numFmtId="0" xfId="0" applyAlignment="1" applyBorder="1" applyFont="1">
      <alignment horizontal="right" shrinkToFit="0" vertical="center" wrapText="1"/>
    </xf>
    <xf borderId="145" fillId="0" fontId="57" numFmtId="169" xfId="0" applyAlignment="1" applyBorder="1" applyFont="1" applyNumberFormat="1">
      <alignment horizontal="center" shrinkToFit="0" vertical="center" wrapText="1"/>
    </xf>
    <xf borderId="143" fillId="0" fontId="101" numFmtId="0" xfId="0" applyAlignment="1" applyBorder="1" applyFont="1">
      <alignment horizontal="right" vertical="center"/>
    </xf>
    <xf borderId="24" fillId="18" fontId="93" numFmtId="0" xfId="0" applyAlignment="1" applyBorder="1" applyFont="1">
      <alignment horizontal="center" shrinkToFit="0" vertical="center" wrapText="1"/>
    </xf>
    <xf borderId="95" fillId="0" fontId="17" numFmtId="0" xfId="0" applyBorder="1" applyFont="1"/>
    <xf borderId="95" fillId="0" fontId="113" numFmtId="169" xfId="0" applyBorder="1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2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3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1.0"/>
    <col customWidth="1" min="3" max="3" width="11.88"/>
    <col customWidth="1" min="4" max="4" width="11.38"/>
    <col customWidth="1" min="5" max="5" width="10.25"/>
    <col customWidth="1" min="6" max="6" width="17.13"/>
    <col customWidth="1" min="7" max="7" width="4.38"/>
    <col customWidth="1" min="8" max="8" width="11.88"/>
    <col customWidth="1" min="9" max="10" width="14.25"/>
    <col customWidth="1" min="11" max="11" width="11.38"/>
    <col customWidth="1" min="12" max="12" width="19.13"/>
    <col customWidth="1" min="13" max="14" width="8.63"/>
    <col customWidth="1" min="15" max="15" width="35.5"/>
    <col customWidth="1" min="16" max="16" width="12.5"/>
    <col customWidth="1" min="17" max="17" width="9.0"/>
    <col customWidth="1" min="18" max="18" width="12.75"/>
    <col customWidth="1" min="19" max="19" width="13.5"/>
    <col customWidth="1" min="20" max="20" width="8.63"/>
    <col customWidth="1" min="21" max="21" width="23.5"/>
    <col customWidth="1" min="22" max="22" width="15.13"/>
    <col customWidth="1" min="23" max="23" width="10.38"/>
    <col customWidth="1" min="24" max="24" width="9.38"/>
    <col customWidth="1" min="25" max="25" width="11.38"/>
    <col customWidth="1" min="26" max="26" width="8.63"/>
  </cols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2"/>
    </row>
    <row r="3">
      <c r="A3" s="4" t="s">
        <v>1</v>
      </c>
    </row>
    <row r="4">
      <c r="A4" s="5"/>
      <c r="B4" s="6" t="s">
        <v>2</v>
      </c>
      <c r="C4" s="7"/>
      <c r="D4" s="7"/>
      <c r="E4" s="7"/>
      <c r="F4" s="8"/>
      <c r="G4" s="9"/>
      <c r="H4" s="6" t="s">
        <v>3</v>
      </c>
      <c r="I4" s="7"/>
      <c r="J4" s="7"/>
      <c r="K4" s="7"/>
      <c r="L4" s="8"/>
      <c r="O4" s="10" t="s">
        <v>4</v>
      </c>
      <c r="P4" s="11" t="s">
        <v>5</v>
      </c>
      <c r="Q4" s="11" t="s">
        <v>6</v>
      </c>
      <c r="R4" s="11" t="s">
        <v>7</v>
      </c>
      <c r="S4" s="11" t="s">
        <v>8</v>
      </c>
    </row>
    <row r="5">
      <c r="A5" s="12" t="s">
        <v>9</v>
      </c>
      <c r="B5" s="12" t="s">
        <v>10</v>
      </c>
      <c r="C5" s="13" t="s">
        <v>11</v>
      </c>
      <c r="D5" s="12" t="s">
        <v>12</v>
      </c>
      <c r="E5" s="12" t="s">
        <v>13</v>
      </c>
      <c r="F5" s="12" t="s">
        <v>14</v>
      </c>
      <c r="G5" s="14"/>
      <c r="H5" s="12" t="s">
        <v>10</v>
      </c>
      <c r="I5" s="12" t="s">
        <v>11</v>
      </c>
      <c r="J5" s="12" t="s">
        <v>12</v>
      </c>
      <c r="K5" s="12" t="s">
        <v>13</v>
      </c>
      <c r="L5" s="12" t="s">
        <v>4</v>
      </c>
      <c r="O5" s="15" t="s">
        <v>15</v>
      </c>
      <c r="P5" s="16" t="s">
        <v>16</v>
      </c>
      <c r="Q5" s="17">
        <v>46149.0</v>
      </c>
      <c r="R5" s="16" t="s">
        <v>17</v>
      </c>
      <c r="S5" s="18" t="s">
        <v>18</v>
      </c>
    </row>
    <row r="6" ht="19.5" customHeight="1">
      <c r="A6" s="19" t="s">
        <v>19</v>
      </c>
      <c r="B6" s="20" t="s">
        <v>20</v>
      </c>
      <c r="C6" s="20">
        <v>46.0</v>
      </c>
      <c r="D6" s="21" t="s">
        <v>21</v>
      </c>
      <c r="E6" s="22" t="s">
        <v>22</v>
      </c>
      <c r="F6" s="23" t="s">
        <v>23</v>
      </c>
      <c r="G6" s="24"/>
      <c r="H6" s="20" t="s">
        <v>20</v>
      </c>
      <c r="I6" s="25">
        <v>46.0</v>
      </c>
      <c r="J6" s="20" t="s">
        <v>24</v>
      </c>
      <c r="K6" s="25" t="s">
        <v>25</v>
      </c>
      <c r="L6" s="26" t="s">
        <v>26</v>
      </c>
      <c r="M6" s="27"/>
      <c r="O6" s="15" t="s">
        <v>27</v>
      </c>
      <c r="P6" s="28" t="s">
        <v>28</v>
      </c>
      <c r="Q6" s="28">
        <v>2.0</v>
      </c>
      <c r="R6" s="28" t="s">
        <v>17</v>
      </c>
      <c r="S6" s="29" t="s">
        <v>29</v>
      </c>
    </row>
    <row r="7">
      <c r="A7" s="30"/>
      <c r="B7" s="30"/>
      <c r="C7" s="30"/>
      <c r="D7" s="30"/>
      <c r="E7" s="30"/>
      <c r="F7" s="31" t="s">
        <v>30</v>
      </c>
      <c r="G7" s="24"/>
      <c r="H7" s="30"/>
      <c r="I7" s="30"/>
      <c r="J7" s="30"/>
      <c r="K7" s="30"/>
      <c r="L7" s="32" t="s">
        <v>31</v>
      </c>
      <c r="O7" s="15" t="s">
        <v>27</v>
      </c>
      <c r="P7" s="28" t="s">
        <v>32</v>
      </c>
      <c r="Q7" s="33">
        <v>46145.0</v>
      </c>
      <c r="R7" s="28" t="s">
        <v>33</v>
      </c>
      <c r="S7" s="29" t="s">
        <v>34</v>
      </c>
    </row>
    <row r="8">
      <c r="A8" s="30"/>
      <c r="B8" s="30"/>
      <c r="C8" s="30"/>
      <c r="D8" s="30"/>
      <c r="E8" s="30"/>
      <c r="F8" s="23" t="s">
        <v>15</v>
      </c>
      <c r="G8" s="24"/>
      <c r="H8" s="30"/>
      <c r="I8" s="30"/>
      <c r="J8" s="30"/>
      <c r="K8" s="30"/>
      <c r="L8" s="34"/>
      <c r="O8" s="15" t="s">
        <v>35</v>
      </c>
      <c r="P8" s="28" t="s">
        <v>36</v>
      </c>
      <c r="Q8" s="33">
        <v>46145.0</v>
      </c>
      <c r="R8" s="28" t="s">
        <v>17</v>
      </c>
      <c r="S8" s="29" t="s">
        <v>37</v>
      </c>
    </row>
    <row r="9">
      <c r="A9" s="30"/>
      <c r="B9" s="30"/>
      <c r="C9" s="30"/>
      <c r="D9" s="30"/>
      <c r="E9" s="30"/>
      <c r="F9" s="35" t="s">
        <v>38</v>
      </c>
      <c r="G9" s="24"/>
      <c r="H9" s="30"/>
      <c r="I9" s="30"/>
      <c r="J9" s="30"/>
      <c r="K9" s="30"/>
      <c r="L9" s="34"/>
      <c r="O9" s="15" t="s">
        <v>35</v>
      </c>
      <c r="P9" s="28" t="s">
        <v>16</v>
      </c>
      <c r="Q9" s="28">
        <v>2.0</v>
      </c>
      <c r="R9" s="28" t="s">
        <v>17</v>
      </c>
      <c r="S9" s="29" t="s">
        <v>29</v>
      </c>
    </row>
    <row r="10">
      <c r="A10" s="30"/>
      <c r="B10" s="30"/>
      <c r="C10" s="30"/>
      <c r="D10" s="30"/>
      <c r="E10" s="30"/>
      <c r="F10" s="23" t="s">
        <v>39</v>
      </c>
      <c r="G10" s="24"/>
      <c r="H10" s="30"/>
      <c r="I10" s="30"/>
      <c r="J10" s="30"/>
      <c r="K10" s="30"/>
      <c r="L10" s="34"/>
      <c r="O10" s="15" t="s">
        <v>40</v>
      </c>
      <c r="P10" s="28" t="s">
        <v>36</v>
      </c>
      <c r="Q10" s="28">
        <v>2.0</v>
      </c>
      <c r="R10" s="28" t="s">
        <v>17</v>
      </c>
      <c r="S10" s="29" t="s">
        <v>29</v>
      </c>
    </row>
    <row r="11">
      <c r="A11" s="30"/>
      <c r="B11" s="36"/>
      <c r="C11" s="36"/>
      <c r="D11" s="36"/>
      <c r="E11" s="36"/>
      <c r="F11" s="37" t="s">
        <v>40</v>
      </c>
      <c r="G11" s="24"/>
      <c r="H11" s="36"/>
      <c r="I11" s="36"/>
      <c r="J11" s="36"/>
      <c r="K11" s="36"/>
      <c r="L11" s="34"/>
      <c r="O11" s="15" t="s">
        <v>40</v>
      </c>
      <c r="P11" s="28" t="s">
        <v>16</v>
      </c>
      <c r="Q11" s="33">
        <v>46149.0</v>
      </c>
      <c r="R11" s="28" t="s">
        <v>17</v>
      </c>
      <c r="S11" s="29" t="s">
        <v>18</v>
      </c>
    </row>
    <row r="12" ht="27.0" customHeight="1">
      <c r="A12" s="30"/>
      <c r="B12" s="38"/>
      <c r="C12" s="38"/>
      <c r="D12" s="38"/>
      <c r="E12" s="38"/>
      <c r="F12" s="39" t="s">
        <v>41</v>
      </c>
      <c r="G12" s="24"/>
      <c r="H12" s="24"/>
      <c r="I12" s="24"/>
      <c r="J12" s="24"/>
      <c r="K12" s="24"/>
      <c r="L12" s="39" t="s">
        <v>42</v>
      </c>
      <c r="O12" s="15" t="s">
        <v>43</v>
      </c>
      <c r="P12" s="28" t="s">
        <v>44</v>
      </c>
      <c r="Q12" s="33">
        <v>46145.0</v>
      </c>
      <c r="R12" s="28" t="s">
        <v>17</v>
      </c>
      <c r="S12" s="29" t="s">
        <v>37</v>
      </c>
    </row>
    <row r="13">
      <c r="A13" s="30"/>
      <c r="B13" s="12" t="s">
        <v>10</v>
      </c>
      <c r="C13" s="13" t="s">
        <v>11</v>
      </c>
      <c r="D13" s="12" t="s">
        <v>12</v>
      </c>
      <c r="E13" s="12" t="s">
        <v>13</v>
      </c>
      <c r="F13" s="12" t="s">
        <v>14</v>
      </c>
      <c r="G13" s="14"/>
      <c r="H13" s="12" t="s">
        <v>10</v>
      </c>
      <c r="I13" s="40" t="s">
        <v>11</v>
      </c>
      <c r="J13" s="40" t="s">
        <v>12</v>
      </c>
      <c r="K13" s="40" t="s">
        <v>13</v>
      </c>
      <c r="L13" s="40" t="s">
        <v>4</v>
      </c>
      <c r="O13" s="15" t="s">
        <v>45</v>
      </c>
      <c r="P13" s="28" t="s">
        <v>28</v>
      </c>
      <c r="Q13" s="33">
        <v>46146.0</v>
      </c>
      <c r="R13" s="28" t="s">
        <v>17</v>
      </c>
      <c r="S13" s="29" t="s">
        <v>46</v>
      </c>
    </row>
    <row r="14">
      <c r="A14" s="30"/>
      <c r="B14" s="20" t="s">
        <v>47</v>
      </c>
      <c r="C14" s="20">
        <v>22.0</v>
      </c>
      <c r="D14" s="21" t="s">
        <v>21</v>
      </c>
      <c r="E14" s="25" t="s">
        <v>48</v>
      </c>
      <c r="F14" s="23" t="s">
        <v>23</v>
      </c>
      <c r="G14" s="24"/>
      <c r="H14" s="41" t="s">
        <v>47</v>
      </c>
      <c r="I14" s="42">
        <v>10.0</v>
      </c>
      <c r="J14" s="43" t="s">
        <v>24</v>
      </c>
      <c r="K14" s="44" t="s">
        <v>49</v>
      </c>
      <c r="L14" s="43" t="s">
        <v>50</v>
      </c>
      <c r="O14" s="15" t="s">
        <v>51</v>
      </c>
      <c r="P14" s="28" t="s">
        <v>28</v>
      </c>
      <c r="Q14" s="28">
        <v>2.0</v>
      </c>
      <c r="R14" s="28" t="s">
        <v>17</v>
      </c>
      <c r="S14" s="29" t="s">
        <v>29</v>
      </c>
    </row>
    <row r="15">
      <c r="A15" s="30"/>
      <c r="B15" s="30"/>
      <c r="C15" s="30"/>
      <c r="D15" s="30"/>
      <c r="E15" s="30"/>
      <c r="F15" s="45" t="s">
        <v>52</v>
      </c>
      <c r="G15" s="24"/>
      <c r="H15" s="46"/>
      <c r="I15" s="42">
        <v>12.0</v>
      </c>
      <c r="J15" s="43" t="s">
        <v>24</v>
      </c>
      <c r="K15" s="44" t="s">
        <v>49</v>
      </c>
      <c r="L15" s="47" t="s">
        <v>53</v>
      </c>
      <c r="O15" s="15" t="s">
        <v>54</v>
      </c>
      <c r="P15" s="28" t="s">
        <v>44</v>
      </c>
      <c r="Q15" s="28">
        <v>2.0</v>
      </c>
      <c r="R15" s="28" t="s">
        <v>17</v>
      </c>
      <c r="S15" s="29" t="s">
        <v>29</v>
      </c>
    </row>
    <row r="16">
      <c r="A16" s="30"/>
      <c r="B16" s="30"/>
      <c r="C16" s="30"/>
      <c r="D16" s="30"/>
      <c r="E16" s="30"/>
      <c r="F16" s="23" t="s">
        <v>15</v>
      </c>
      <c r="G16" s="24"/>
      <c r="H16" s="46"/>
      <c r="I16" s="48"/>
      <c r="J16" s="48"/>
      <c r="K16" s="49"/>
      <c r="L16" s="50"/>
      <c r="O16" s="15" t="s">
        <v>55</v>
      </c>
      <c r="P16" s="28" t="s">
        <v>44</v>
      </c>
      <c r="Q16" s="33">
        <v>46145.0</v>
      </c>
      <c r="R16" s="28" t="s">
        <v>17</v>
      </c>
      <c r="S16" s="29" t="s">
        <v>37</v>
      </c>
    </row>
    <row r="17">
      <c r="A17" s="30"/>
      <c r="B17" s="30"/>
      <c r="C17" s="30"/>
      <c r="D17" s="30"/>
      <c r="E17" s="30"/>
      <c r="F17" s="37" t="s">
        <v>40</v>
      </c>
      <c r="G17" s="24"/>
      <c r="H17" s="46"/>
      <c r="I17" s="48"/>
      <c r="J17" s="48"/>
      <c r="K17" s="49"/>
      <c r="L17" s="50"/>
      <c r="O17" s="51" t="s">
        <v>39</v>
      </c>
      <c r="P17" s="16" t="s">
        <v>36</v>
      </c>
      <c r="Q17" s="17">
        <v>46146.0</v>
      </c>
      <c r="R17" s="16" t="s">
        <v>17</v>
      </c>
      <c r="S17" s="18" t="s">
        <v>46</v>
      </c>
    </row>
    <row r="18" ht="27.0" customHeight="1">
      <c r="A18" s="30"/>
      <c r="B18" s="30"/>
      <c r="C18" s="30"/>
      <c r="D18" s="30"/>
      <c r="E18" s="30"/>
      <c r="F18" s="23" t="s">
        <v>39</v>
      </c>
      <c r="G18" s="24"/>
      <c r="H18" s="52"/>
      <c r="I18" s="48"/>
      <c r="J18" s="48"/>
      <c r="K18" s="49"/>
      <c r="L18" s="53"/>
      <c r="O18" s="51" t="s">
        <v>39</v>
      </c>
      <c r="P18" s="16" t="s">
        <v>16</v>
      </c>
      <c r="Q18" s="17">
        <v>46149.0</v>
      </c>
      <c r="R18" s="16" t="s">
        <v>17</v>
      </c>
      <c r="S18" s="18" t="s">
        <v>18</v>
      </c>
    </row>
    <row r="19">
      <c r="A19" s="30"/>
      <c r="B19" s="30"/>
      <c r="C19" s="30"/>
      <c r="D19" s="30"/>
      <c r="E19" s="30"/>
      <c r="F19" s="23" t="s">
        <v>23</v>
      </c>
      <c r="G19" s="24"/>
      <c r="H19" s="24"/>
      <c r="I19" s="54"/>
      <c r="J19" s="54"/>
      <c r="K19" s="55"/>
      <c r="L19" s="56" t="s">
        <v>56</v>
      </c>
      <c r="O19" s="51" t="s">
        <v>57</v>
      </c>
      <c r="P19" s="16" t="s">
        <v>32</v>
      </c>
      <c r="Q19" s="17">
        <v>46146.0</v>
      </c>
      <c r="R19" s="16" t="s">
        <v>33</v>
      </c>
      <c r="S19" s="18" t="s">
        <v>58</v>
      </c>
    </row>
    <row r="20">
      <c r="A20" s="30"/>
      <c r="B20" s="36"/>
      <c r="C20" s="36"/>
      <c r="D20" s="36"/>
      <c r="E20" s="36"/>
      <c r="F20" s="39" t="s">
        <v>41</v>
      </c>
      <c r="G20" s="24"/>
      <c r="H20" s="24"/>
      <c r="I20" s="24"/>
      <c r="J20" s="24"/>
      <c r="K20" s="24"/>
      <c r="L20" s="54"/>
      <c r="O20" s="51" t="s">
        <v>59</v>
      </c>
      <c r="P20" s="16" t="s">
        <v>44</v>
      </c>
      <c r="Q20" s="17">
        <v>46147.0</v>
      </c>
      <c r="R20" s="16" t="s">
        <v>17</v>
      </c>
      <c r="S20" s="18" t="s">
        <v>60</v>
      </c>
    </row>
    <row r="21" ht="15.75" customHeight="1">
      <c r="A21" s="30"/>
      <c r="B21" s="12" t="s">
        <v>10</v>
      </c>
      <c r="C21" s="13" t="s">
        <v>11</v>
      </c>
      <c r="D21" s="12" t="s">
        <v>12</v>
      </c>
      <c r="E21" s="12" t="s">
        <v>13</v>
      </c>
      <c r="F21" s="12" t="s">
        <v>14</v>
      </c>
      <c r="G21" s="14"/>
      <c r="H21" s="12" t="s">
        <v>10</v>
      </c>
      <c r="I21" s="12" t="s">
        <v>11</v>
      </c>
      <c r="J21" s="12" t="s">
        <v>12</v>
      </c>
      <c r="K21" s="12" t="s">
        <v>13</v>
      </c>
      <c r="L21" s="40" t="s">
        <v>4</v>
      </c>
      <c r="O21" s="51" t="s">
        <v>61</v>
      </c>
      <c r="P21" s="16" t="s">
        <v>44</v>
      </c>
      <c r="Q21" s="16">
        <v>2.0</v>
      </c>
      <c r="R21" s="16" t="s">
        <v>17</v>
      </c>
      <c r="S21" s="18" t="s">
        <v>29</v>
      </c>
    </row>
    <row r="22" ht="15.75" customHeight="1">
      <c r="A22" s="30"/>
      <c r="B22" s="20" t="s">
        <v>62</v>
      </c>
      <c r="C22" s="20">
        <v>138.0</v>
      </c>
      <c r="D22" s="21" t="s">
        <v>63</v>
      </c>
      <c r="E22" s="57" t="s">
        <v>64</v>
      </c>
      <c r="F22" s="23" t="s">
        <v>23</v>
      </c>
      <c r="G22" s="24"/>
      <c r="H22" s="38"/>
      <c r="I22" s="58"/>
      <c r="J22" s="58"/>
      <c r="K22" s="59"/>
      <c r="O22" s="51" t="s">
        <v>23</v>
      </c>
      <c r="P22" s="16" t="s">
        <v>16</v>
      </c>
      <c r="Q22" s="17">
        <v>46149.0</v>
      </c>
      <c r="R22" s="16" t="s">
        <v>17</v>
      </c>
      <c r="S22" s="18" t="s">
        <v>18</v>
      </c>
    </row>
    <row r="23" ht="15.75" customHeight="1">
      <c r="A23" s="30"/>
      <c r="B23" s="30"/>
      <c r="C23" s="30"/>
      <c r="D23" s="30"/>
      <c r="E23" s="60" t="s">
        <v>65</v>
      </c>
      <c r="F23" s="45" t="s">
        <v>66</v>
      </c>
      <c r="G23" s="24"/>
      <c r="H23" s="61" t="s">
        <v>67</v>
      </c>
      <c r="I23" s="62" t="s">
        <v>68</v>
      </c>
      <c r="J23" s="63" t="s">
        <v>24</v>
      </c>
      <c r="K23" s="62" t="s">
        <v>69</v>
      </c>
      <c r="L23" s="26" t="s">
        <v>26</v>
      </c>
      <c r="O23" s="51" t="s">
        <v>70</v>
      </c>
      <c r="P23" s="16" t="s">
        <v>32</v>
      </c>
      <c r="Q23" s="17">
        <v>46149.0</v>
      </c>
      <c r="R23" s="16" t="s">
        <v>33</v>
      </c>
      <c r="S23" s="18" t="s">
        <v>71</v>
      </c>
    </row>
    <row r="24" ht="15.75" customHeight="1">
      <c r="A24" s="30"/>
      <c r="B24" s="30"/>
      <c r="C24" s="30"/>
      <c r="D24" s="30"/>
      <c r="E24" s="57" t="s">
        <v>64</v>
      </c>
      <c r="F24" s="64" t="s">
        <v>15</v>
      </c>
      <c r="G24" s="24"/>
      <c r="H24" s="46"/>
      <c r="I24" s="65"/>
      <c r="J24" s="65"/>
      <c r="K24" s="65"/>
      <c r="L24" s="66" t="s">
        <v>31</v>
      </c>
      <c r="O24" s="51" t="s">
        <v>72</v>
      </c>
      <c r="P24" s="16" t="s">
        <v>28</v>
      </c>
      <c r="Q24" s="16">
        <v>2.0</v>
      </c>
      <c r="R24" s="16" t="s">
        <v>17</v>
      </c>
      <c r="S24" s="18" t="s">
        <v>29</v>
      </c>
    </row>
    <row r="25" ht="15.75" customHeight="1">
      <c r="A25" s="30"/>
      <c r="B25" s="30"/>
      <c r="C25" s="30"/>
      <c r="D25" s="30"/>
      <c r="E25" s="67" t="s">
        <v>49</v>
      </c>
      <c r="F25" s="35" t="s">
        <v>73</v>
      </c>
      <c r="G25" s="24"/>
      <c r="H25" s="46"/>
      <c r="I25" s="65"/>
      <c r="J25" s="65"/>
      <c r="K25" s="65"/>
      <c r="L25" s="68" t="s">
        <v>74</v>
      </c>
      <c r="O25" s="51" t="s">
        <v>75</v>
      </c>
      <c r="P25" s="16" t="s">
        <v>36</v>
      </c>
      <c r="Q25" s="17">
        <v>46145.0</v>
      </c>
      <c r="R25" s="16" t="s">
        <v>17</v>
      </c>
      <c r="S25" s="18" t="s">
        <v>37</v>
      </c>
    </row>
    <row r="26" ht="15.75" customHeight="1">
      <c r="A26" s="30"/>
      <c r="B26" s="30"/>
      <c r="C26" s="30"/>
      <c r="D26" s="30"/>
      <c r="E26" s="57" t="s">
        <v>64</v>
      </c>
      <c r="F26" s="64" t="s">
        <v>40</v>
      </c>
      <c r="G26" s="24"/>
      <c r="H26" s="46"/>
      <c r="I26" s="65"/>
      <c r="J26" s="65"/>
      <c r="K26" s="65"/>
      <c r="L26" s="66" t="s">
        <v>76</v>
      </c>
      <c r="O26" s="69"/>
      <c r="P26" s="69"/>
      <c r="Q26" s="69"/>
      <c r="R26" s="70" t="s">
        <v>77</v>
      </c>
      <c r="S26" s="71" t="s">
        <v>78</v>
      </c>
    </row>
    <row r="27" ht="15.75" customHeight="1">
      <c r="A27" s="30"/>
      <c r="B27" s="30"/>
      <c r="C27" s="30"/>
      <c r="D27" s="30"/>
      <c r="E27" s="67" t="s">
        <v>49</v>
      </c>
      <c r="F27" s="72" t="s">
        <v>79</v>
      </c>
      <c r="G27" s="24"/>
      <c r="H27" s="46"/>
      <c r="I27" s="73"/>
      <c r="J27" s="73"/>
      <c r="K27" s="73"/>
      <c r="L27" s="66" t="s">
        <v>80</v>
      </c>
      <c r="O27" s="74"/>
      <c r="P27" s="74"/>
      <c r="Q27" s="74"/>
      <c r="R27" s="74"/>
      <c r="S27" s="74"/>
    </row>
    <row r="28" ht="15.0" customHeight="1">
      <c r="A28" s="30"/>
      <c r="B28" s="30"/>
      <c r="C28" s="30"/>
      <c r="D28" s="30"/>
      <c r="E28" s="57" t="s">
        <v>64</v>
      </c>
      <c r="F28" s="23" t="s">
        <v>39</v>
      </c>
      <c r="G28" s="24"/>
      <c r="H28" s="46"/>
      <c r="I28" s="75" t="s">
        <v>81</v>
      </c>
      <c r="J28" s="75" t="s">
        <v>24</v>
      </c>
      <c r="K28" s="75" t="s">
        <v>69</v>
      </c>
      <c r="L28" s="76" t="s">
        <v>82</v>
      </c>
    </row>
    <row r="29" ht="15.75" customHeight="1">
      <c r="A29" s="30"/>
      <c r="B29" s="36"/>
      <c r="C29" s="36"/>
      <c r="D29" s="36"/>
      <c r="E29" s="77"/>
      <c r="F29" s="45" t="s">
        <v>83</v>
      </c>
      <c r="G29" s="24"/>
      <c r="H29" s="52"/>
      <c r="I29" s="73"/>
      <c r="J29" s="73"/>
      <c r="K29" s="73"/>
      <c r="L29" s="73"/>
    </row>
    <row r="30" ht="15.75" customHeight="1">
      <c r="A30" s="36"/>
      <c r="B30" s="78"/>
      <c r="C30" s="78"/>
      <c r="D30" s="78"/>
      <c r="E30" s="78"/>
      <c r="F30" s="39" t="s">
        <v>41</v>
      </c>
      <c r="G30" s="24"/>
      <c r="H30" s="38"/>
      <c r="I30" s="79"/>
      <c r="J30" s="79"/>
      <c r="K30" s="79"/>
      <c r="L30" s="56" t="s">
        <v>84</v>
      </c>
    </row>
    <row r="31" ht="15.75" customHeight="1"/>
    <row r="32" ht="15.75" customHeight="1"/>
    <row r="33" ht="27.0" customHeight="1">
      <c r="A33" s="80" t="s">
        <v>1</v>
      </c>
    </row>
    <row r="34" ht="15.75" customHeight="1">
      <c r="A34" s="5"/>
      <c r="B34" s="81" t="s">
        <v>2</v>
      </c>
      <c r="C34" s="7"/>
      <c r="D34" s="7"/>
      <c r="E34" s="7"/>
      <c r="F34" s="8"/>
      <c r="G34" s="9"/>
      <c r="H34" s="81" t="s">
        <v>3</v>
      </c>
      <c r="I34" s="7"/>
      <c r="J34" s="7"/>
      <c r="K34" s="7"/>
      <c r="L34" s="8"/>
      <c r="O34" s="82" t="s">
        <v>4</v>
      </c>
      <c r="P34" s="83" t="s">
        <v>5</v>
      </c>
      <c r="Q34" s="83" t="s">
        <v>6</v>
      </c>
      <c r="R34" s="83" t="s">
        <v>7</v>
      </c>
      <c r="S34" s="83" t="s">
        <v>8</v>
      </c>
    </row>
    <row r="35" ht="15.75" customHeight="1">
      <c r="A35" s="84" t="s">
        <v>9</v>
      </c>
      <c r="B35" s="84" t="s">
        <v>10</v>
      </c>
      <c r="C35" s="85" t="s">
        <v>11</v>
      </c>
      <c r="D35" s="84" t="s">
        <v>12</v>
      </c>
      <c r="E35" s="84" t="s">
        <v>13</v>
      </c>
      <c r="F35" s="84" t="s">
        <v>14</v>
      </c>
      <c r="G35" s="14"/>
      <c r="H35" s="84" t="s">
        <v>10</v>
      </c>
      <c r="I35" s="84" t="s">
        <v>11</v>
      </c>
      <c r="J35" s="84" t="s">
        <v>12</v>
      </c>
      <c r="K35" s="84" t="s">
        <v>13</v>
      </c>
      <c r="L35" s="84" t="s">
        <v>4</v>
      </c>
      <c r="O35" s="86" t="s">
        <v>40</v>
      </c>
      <c r="P35" s="87" t="s">
        <v>16</v>
      </c>
      <c r="Q35" s="88">
        <v>46145.0</v>
      </c>
      <c r="R35" s="87" t="s">
        <v>17</v>
      </c>
      <c r="S35" s="87" t="s">
        <v>37</v>
      </c>
    </row>
    <row r="36" ht="15.75" customHeight="1">
      <c r="A36" s="19" t="s">
        <v>19</v>
      </c>
      <c r="B36" s="89" t="s">
        <v>85</v>
      </c>
      <c r="C36" s="20">
        <v>48.0</v>
      </c>
      <c r="D36" s="20" t="s">
        <v>86</v>
      </c>
      <c r="E36" s="90" t="s">
        <v>87</v>
      </c>
      <c r="F36" s="23" t="s">
        <v>23</v>
      </c>
      <c r="G36" s="24"/>
      <c r="H36" s="20" t="s">
        <v>85</v>
      </c>
      <c r="I36" s="20">
        <v>48.0</v>
      </c>
      <c r="J36" s="20" t="s">
        <v>88</v>
      </c>
      <c r="K36" s="20" t="s">
        <v>89</v>
      </c>
      <c r="L36" s="23" t="s">
        <v>26</v>
      </c>
      <c r="O36" s="86" t="s">
        <v>45</v>
      </c>
      <c r="P36" s="87" t="s">
        <v>36</v>
      </c>
      <c r="Q36" s="88">
        <v>46143.0</v>
      </c>
      <c r="R36" s="87" t="s">
        <v>17</v>
      </c>
      <c r="S36" s="87" t="s">
        <v>90</v>
      </c>
    </row>
    <row r="37" ht="15.75" customHeight="1">
      <c r="A37" s="30"/>
      <c r="B37" s="30"/>
      <c r="C37" s="30"/>
      <c r="D37" s="30"/>
      <c r="E37" s="30"/>
      <c r="F37" s="23" t="s">
        <v>91</v>
      </c>
      <c r="G37" s="24"/>
      <c r="H37" s="30"/>
      <c r="I37" s="30"/>
      <c r="J37" s="30"/>
      <c r="K37" s="30"/>
      <c r="L37" s="91" t="s">
        <v>31</v>
      </c>
      <c r="O37" s="86" t="s">
        <v>45</v>
      </c>
      <c r="P37" s="87" t="s">
        <v>28</v>
      </c>
      <c r="Q37" s="88">
        <v>46144.0</v>
      </c>
      <c r="R37" s="87" t="s">
        <v>17</v>
      </c>
      <c r="S37" s="87" t="s">
        <v>92</v>
      </c>
    </row>
    <row r="38" ht="15.0" customHeight="1">
      <c r="A38" s="30"/>
      <c r="B38" s="30"/>
      <c r="C38" s="30"/>
      <c r="D38" s="30"/>
      <c r="E38" s="30"/>
      <c r="F38" s="23" t="s">
        <v>40</v>
      </c>
      <c r="G38" s="24"/>
      <c r="H38" s="30"/>
      <c r="I38" s="30"/>
      <c r="J38" s="30"/>
      <c r="K38" s="30"/>
      <c r="L38" s="92"/>
      <c r="O38" s="86" t="s">
        <v>39</v>
      </c>
      <c r="P38" s="87" t="s">
        <v>36</v>
      </c>
      <c r="Q38" s="88">
        <v>46144.0</v>
      </c>
      <c r="R38" s="87" t="s">
        <v>17</v>
      </c>
      <c r="S38" s="87" t="s">
        <v>92</v>
      </c>
    </row>
    <row r="39" ht="15.75" customHeight="1">
      <c r="A39" s="30"/>
      <c r="B39" s="36"/>
      <c r="C39" s="36"/>
      <c r="D39" s="36"/>
      <c r="E39" s="36"/>
      <c r="F39" s="23" t="s">
        <v>39</v>
      </c>
      <c r="G39" s="24"/>
      <c r="H39" s="36"/>
      <c r="I39" s="36"/>
      <c r="J39" s="36"/>
      <c r="K39" s="36"/>
      <c r="L39" s="92"/>
      <c r="O39" s="86" t="s">
        <v>39</v>
      </c>
      <c r="P39" s="87" t="s">
        <v>28</v>
      </c>
      <c r="Q39" s="88">
        <v>46143.0</v>
      </c>
      <c r="R39" s="87" t="s">
        <v>17</v>
      </c>
      <c r="S39" s="87" t="s">
        <v>90</v>
      </c>
    </row>
    <row r="40" ht="15.75" customHeight="1">
      <c r="A40" s="30"/>
      <c r="B40" s="38"/>
      <c r="C40" s="38"/>
      <c r="D40" s="38"/>
      <c r="E40" s="38"/>
      <c r="F40" s="93" t="s">
        <v>84</v>
      </c>
      <c r="G40" s="24"/>
      <c r="H40" s="24"/>
      <c r="I40" s="24"/>
      <c r="J40" s="24"/>
      <c r="K40" s="24"/>
      <c r="L40" s="94"/>
      <c r="O40" s="86" t="s">
        <v>39</v>
      </c>
      <c r="P40" s="87" t="s">
        <v>16</v>
      </c>
      <c r="Q40" s="88">
        <v>46145.0</v>
      </c>
      <c r="R40" s="87" t="s">
        <v>17</v>
      </c>
      <c r="S40" s="87" t="s">
        <v>37</v>
      </c>
    </row>
    <row r="41" ht="15.75" customHeight="1">
      <c r="A41" s="30"/>
      <c r="B41" s="84" t="s">
        <v>10</v>
      </c>
      <c r="C41" s="85" t="s">
        <v>11</v>
      </c>
      <c r="D41" s="84" t="s">
        <v>12</v>
      </c>
      <c r="E41" s="84" t="s">
        <v>13</v>
      </c>
      <c r="F41" s="84" t="s">
        <v>14</v>
      </c>
      <c r="G41" s="14"/>
      <c r="H41" s="84" t="s">
        <v>10</v>
      </c>
      <c r="I41" s="84" t="s">
        <v>11</v>
      </c>
      <c r="J41" s="84" t="s">
        <v>12</v>
      </c>
      <c r="K41" s="84" t="s">
        <v>13</v>
      </c>
      <c r="L41" s="84" t="s">
        <v>4</v>
      </c>
      <c r="O41" s="86" t="s">
        <v>57</v>
      </c>
      <c r="P41" s="87" t="s">
        <v>32</v>
      </c>
      <c r="Q41" s="88">
        <v>46145.0</v>
      </c>
      <c r="R41" s="87" t="s">
        <v>33</v>
      </c>
      <c r="S41" s="87" t="s">
        <v>34</v>
      </c>
    </row>
    <row r="42" ht="15.75" customHeight="1">
      <c r="A42" s="30"/>
      <c r="B42" s="20" t="s">
        <v>93</v>
      </c>
      <c r="C42" s="20">
        <v>43.0</v>
      </c>
      <c r="D42" s="20" t="s">
        <v>86</v>
      </c>
      <c r="E42" s="22" t="s">
        <v>94</v>
      </c>
      <c r="F42" s="23" t="s">
        <v>23</v>
      </c>
      <c r="G42" s="24"/>
      <c r="H42" s="20" t="s">
        <v>93</v>
      </c>
      <c r="I42" s="20">
        <v>43.0</v>
      </c>
      <c r="J42" s="20" t="s">
        <v>88</v>
      </c>
      <c r="K42" s="20" t="s">
        <v>95</v>
      </c>
      <c r="L42" s="23" t="s">
        <v>26</v>
      </c>
      <c r="O42" s="86" t="s">
        <v>91</v>
      </c>
      <c r="P42" s="87" t="s">
        <v>16</v>
      </c>
      <c r="Q42" s="87">
        <v>4.0</v>
      </c>
      <c r="R42" s="87" t="s">
        <v>17</v>
      </c>
      <c r="S42" s="87" t="s">
        <v>96</v>
      </c>
    </row>
    <row r="43" ht="15.75" customHeight="1">
      <c r="A43" s="30"/>
      <c r="B43" s="30"/>
      <c r="C43" s="30"/>
      <c r="D43" s="30"/>
      <c r="E43" s="30"/>
      <c r="F43" s="23" t="s">
        <v>91</v>
      </c>
      <c r="G43" s="24"/>
      <c r="H43" s="30"/>
      <c r="I43" s="30"/>
      <c r="J43" s="30"/>
      <c r="K43" s="30"/>
      <c r="L43" s="91" t="s">
        <v>31</v>
      </c>
      <c r="O43" s="86" t="s">
        <v>23</v>
      </c>
      <c r="P43" s="87" t="s">
        <v>16</v>
      </c>
      <c r="Q43" s="88">
        <v>46145.0</v>
      </c>
      <c r="R43" s="87" t="s">
        <v>17</v>
      </c>
      <c r="S43" s="87" t="s">
        <v>37</v>
      </c>
    </row>
    <row r="44" ht="15.75" customHeight="1">
      <c r="A44" s="30"/>
      <c r="B44" s="30"/>
      <c r="C44" s="30"/>
      <c r="D44" s="30"/>
      <c r="E44" s="30"/>
      <c r="F44" s="23" t="s">
        <v>40</v>
      </c>
      <c r="G44" s="24"/>
      <c r="H44" s="30"/>
      <c r="I44" s="30"/>
      <c r="J44" s="30"/>
      <c r="K44" s="30"/>
      <c r="L44" s="92"/>
      <c r="O44" s="95"/>
      <c r="P44" s="95"/>
      <c r="Q44" s="95"/>
      <c r="R44" s="96" t="s">
        <v>77</v>
      </c>
      <c r="S44" s="97" t="s">
        <v>97</v>
      </c>
    </row>
    <row r="45" ht="15.75" customHeight="1">
      <c r="A45" s="30"/>
      <c r="B45" s="30"/>
      <c r="C45" s="30"/>
      <c r="D45" s="30"/>
      <c r="E45" s="30"/>
      <c r="F45" s="23" t="s">
        <v>39</v>
      </c>
      <c r="G45" s="24"/>
      <c r="H45" s="36"/>
      <c r="I45" s="36"/>
      <c r="J45" s="36"/>
      <c r="K45" s="36"/>
      <c r="L45" s="92"/>
    </row>
    <row r="46" ht="15.0" customHeight="1">
      <c r="A46" s="30"/>
      <c r="B46" s="36"/>
      <c r="C46" s="36"/>
      <c r="D46" s="36"/>
      <c r="E46" s="36"/>
      <c r="F46" s="93" t="s">
        <v>84</v>
      </c>
      <c r="G46" s="24"/>
      <c r="H46" s="38"/>
      <c r="I46" s="38"/>
      <c r="J46" s="38"/>
      <c r="K46" s="38"/>
      <c r="L46" s="94"/>
    </row>
    <row r="47" ht="15.75" customHeight="1">
      <c r="A47" s="30"/>
      <c r="B47" s="84" t="s">
        <v>10</v>
      </c>
      <c r="C47" s="85" t="s">
        <v>11</v>
      </c>
      <c r="D47" s="84" t="s">
        <v>12</v>
      </c>
      <c r="E47" s="84" t="s">
        <v>13</v>
      </c>
      <c r="F47" s="84" t="s">
        <v>14</v>
      </c>
      <c r="G47" s="14"/>
      <c r="H47" s="84" t="s">
        <v>10</v>
      </c>
      <c r="I47" s="84" t="s">
        <v>11</v>
      </c>
      <c r="J47" s="84" t="s">
        <v>12</v>
      </c>
      <c r="K47" s="84" t="s">
        <v>13</v>
      </c>
      <c r="L47" s="84" t="s">
        <v>4</v>
      </c>
    </row>
    <row r="48" ht="15.75" customHeight="1">
      <c r="A48" s="30"/>
      <c r="B48" s="20" t="s">
        <v>98</v>
      </c>
      <c r="C48" s="20">
        <v>22.0</v>
      </c>
      <c r="D48" s="20" t="s">
        <v>86</v>
      </c>
      <c r="E48" s="25" t="s">
        <v>99</v>
      </c>
      <c r="F48" s="23" t="s">
        <v>23</v>
      </c>
      <c r="G48" s="24"/>
      <c r="H48" s="20" t="s">
        <v>98</v>
      </c>
      <c r="I48" s="20">
        <v>22.0</v>
      </c>
      <c r="J48" s="20" t="s">
        <v>88</v>
      </c>
      <c r="K48" s="98" t="s">
        <v>100</v>
      </c>
      <c r="L48" s="23" t="s">
        <v>26</v>
      </c>
    </row>
    <row r="49" ht="15.75" customHeight="1">
      <c r="A49" s="30"/>
      <c r="B49" s="30"/>
      <c r="C49" s="30"/>
      <c r="D49" s="30"/>
      <c r="E49" s="60" t="s">
        <v>101</v>
      </c>
      <c r="F49" s="23" t="s">
        <v>91</v>
      </c>
      <c r="G49" s="24"/>
      <c r="H49" s="30"/>
      <c r="I49" s="30"/>
      <c r="J49" s="30"/>
      <c r="K49" s="30"/>
      <c r="L49" s="91" t="s">
        <v>31</v>
      </c>
    </row>
    <row r="50" ht="15.75" customHeight="1">
      <c r="A50" s="30"/>
      <c r="B50" s="30"/>
      <c r="C50" s="30"/>
      <c r="D50" s="30"/>
      <c r="E50" s="30"/>
      <c r="F50" s="23" t="s">
        <v>40</v>
      </c>
      <c r="G50" s="24"/>
      <c r="H50" s="30"/>
      <c r="I50" s="30"/>
      <c r="J50" s="30"/>
      <c r="K50" s="30"/>
      <c r="L50" s="92"/>
    </row>
    <row r="51" ht="15.75" customHeight="1">
      <c r="A51" s="30"/>
      <c r="B51" s="30"/>
      <c r="C51" s="30"/>
      <c r="D51" s="30"/>
      <c r="E51" s="30"/>
      <c r="F51" s="23" t="s">
        <v>39</v>
      </c>
      <c r="G51" s="24"/>
      <c r="H51" s="30"/>
      <c r="I51" s="30"/>
      <c r="J51" s="30"/>
      <c r="K51" s="30"/>
      <c r="L51" s="92"/>
    </row>
    <row r="52" ht="15.75" customHeight="1">
      <c r="A52" s="36"/>
      <c r="B52" s="36"/>
      <c r="C52" s="36"/>
      <c r="D52" s="36"/>
      <c r="E52" s="36"/>
      <c r="F52" s="93" t="s">
        <v>84</v>
      </c>
      <c r="G52" s="24"/>
      <c r="H52" s="36"/>
      <c r="I52" s="36"/>
      <c r="J52" s="36"/>
      <c r="K52" s="36"/>
      <c r="L52" s="94"/>
    </row>
    <row r="53" ht="15.75" customHeight="1"/>
    <row r="54" ht="15.75" customHeight="1">
      <c r="E54" s="99">
        <f>1.5+1.5+1</f>
        <v>4</v>
      </c>
    </row>
    <row r="55" ht="15.75" customHeight="1"/>
    <row r="56" ht="15.75" customHeight="1">
      <c r="A56" s="100" t="s">
        <v>102</v>
      </c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2"/>
    </row>
    <row r="57" ht="15.75" customHeight="1">
      <c r="A57" s="103"/>
      <c r="B57" s="104" t="s">
        <v>2</v>
      </c>
      <c r="C57" s="105"/>
      <c r="D57" s="105"/>
      <c r="E57" s="105"/>
      <c r="F57" s="106"/>
      <c r="G57" s="107"/>
      <c r="H57" s="104" t="s">
        <v>3</v>
      </c>
      <c r="I57" s="105"/>
      <c r="J57" s="105"/>
      <c r="K57" s="105"/>
      <c r="L57" s="106"/>
      <c r="O57" s="108" t="s">
        <v>4</v>
      </c>
      <c r="P57" s="108" t="s">
        <v>5</v>
      </c>
      <c r="Q57" s="108" t="s">
        <v>6</v>
      </c>
      <c r="R57" s="108" t="s">
        <v>7</v>
      </c>
      <c r="S57" s="108" t="s">
        <v>8</v>
      </c>
    </row>
    <row r="58" ht="15.75" customHeight="1">
      <c r="A58" s="109"/>
      <c r="B58" s="110" t="s">
        <v>10</v>
      </c>
      <c r="C58" s="111" t="s">
        <v>103</v>
      </c>
      <c r="D58" s="110" t="s">
        <v>12</v>
      </c>
      <c r="E58" s="110" t="s">
        <v>104</v>
      </c>
      <c r="F58" s="110" t="s">
        <v>14</v>
      </c>
      <c r="G58" s="112"/>
      <c r="H58" s="110" t="s">
        <v>105</v>
      </c>
      <c r="I58" s="110" t="s">
        <v>106</v>
      </c>
      <c r="J58" s="110" t="s">
        <v>107</v>
      </c>
      <c r="K58" s="110" t="s">
        <v>108</v>
      </c>
      <c r="L58" s="110" t="s">
        <v>109</v>
      </c>
      <c r="O58" s="113" t="s">
        <v>39</v>
      </c>
      <c r="P58" s="113" t="s">
        <v>16</v>
      </c>
      <c r="Q58" s="113" t="s">
        <v>110</v>
      </c>
      <c r="R58" s="113" t="s">
        <v>17</v>
      </c>
      <c r="S58" s="113" t="s">
        <v>17</v>
      </c>
    </row>
    <row r="59" ht="15.75" customHeight="1">
      <c r="A59" s="114" t="s">
        <v>111</v>
      </c>
      <c r="B59" s="115" t="s">
        <v>85</v>
      </c>
      <c r="C59" s="116">
        <f>2+9</f>
        <v>11</v>
      </c>
      <c r="D59" s="117">
        <v>46094.0</v>
      </c>
      <c r="E59" s="115" t="s">
        <v>89</v>
      </c>
      <c r="F59" s="118" t="s">
        <v>112</v>
      </c>
      <c r="G59" s="119"/>
      <c r="H59" s="115" t="s">
        <v>85</v>
      </c>
      <c r="I59" s="120">
        <f>2+9</f>
        <v>11</v>
      </c>
      <c r="J59" s="117">
        <v>46094.0</v>
      </c>
      <c r="K59" s="121" t="s">
        <v>94</v>
      </c>
      <c r="L59" s="122" t="s">
        <v>112</v>
      </c>
      <c r="O59" s="113" t="s">
        <v>39</v>
      </c>
      <c r="P59" s="113" t="s">
        <v>113</v>
      </c>
      <c r="Q59" s="113" t="s">
        <v>114</v>
      </c>
      <c r="R59" s="113" t="s">
        <v>17</v>
      </c>
      <c r="S59" s="113" t="s">
        <v>90</v>
      </c>
    </row>
    <row r="60" ht="15.75" customHeight="1">
      <c r="A60" s="65"/>
      <c r="B60" s="65"/>
      <c r="C60" s="65"/>
      <c r="D60" s="65"/>
      <c r="E60" s="65"/>
      <c r="F60" s="123"/>
      <c r="G60" s="119"/>
      <c r="H60" s="65"/>
      <c r="I60" s="124"/>
      <c r="J60" s="65"/>
      <c r="K60" s="65"/>
      <c r="L60" s="125"/>
      <c r="O60" s="113" t="s">
        <v>40</v>
      </c>
      <c r="P60" s="113" t="s">
        <v>16</v>
      </c>
      <c r="Q60" s="113" t="s">
        <v>114</v>
      </c>
      <c r="R60" s="113" t="s">
        <v>17</v>
      </c>
      <c r="S60" s="113" t="s">
        <v>90</v>
      </c>
    </row>
    <row r="61" ht="15.75" customHeight="1">
      <c r="A61" s="65"/>
      <c r="B61" s="65"/>
      <c r="C61" s="65"/>
      <c r="D61" s="65"/>
      <c r="E61" s="65"/>
      <c r="F61" s="126"/>
      <c r="G61" s="119"/>
      <c r="H61" s="65"/>
      <c r="I61" s="127"/>
      <c r="J61" s="65"/>
      <c r="K61" s="65"/>
      <c r="L61" s="128"/>
      <c r="O61" s="113" t="s">
        <v>40</v>
      </c>
      <c r="P61" s="113" t="s">
        <v>113</v>
      </c>
      <c r="Q61" s="27">
        <v>1.5</v>
      </c>
      <c r="R61" s="113" t="s">
        <v>17</v>
      </c>
      <c r="S61" s="113" t="s">
        <v>92</v>
      </c>
    </row>
    <row r="62" ht="15.75" customHeight="1">
      <c r="A62" s="73"/>
      <c r="B62" s="73"/>
      <c r="C62" s="73"/>
      <c r="D62" s="73"/>
      <c r="E62" s="73"/>
      <c r="F62" s="129"/>
      <c r="G62" s="119"/>
      <c r="H62" s="73"/>
      <c r="I62" s="127"/>
      <c r="J62" s="73"/>
      <c r="K62" s="73"/>
      <c r="L62" s="128"/>
      <c r="O62" s="113" t="s">
        <v>91</v>
      </c>
      <c r="P62" s="113" t="s">
        <v>16</v>
      </c>
      <c r="Q62" s="27" t="s">
        <v>114</v>
      </c>
      <c r="R62" s="113" t="s">
        <v>17</v>
      </c>
      <c r="S62" s="113" t="s">
        <v>90</v>
      </c>
    </row>
    <row r="63" ht="15.75" customHeight="1">
      <c r="A63" s="109"/>
      <c r="B63" s="110" t="s">
        <v>10</v>
      </c>
      <c r="C63" s="111" t="s">
        <v>103</v>
      </c>
      <c r="D63" s="110" t="s">
        <v>12</v>
      </c>
      <c r="E63" s="110" t="s">
        <v>104</v>
      </c>
      <c r="F63" s="110" t="s">
        <v>14</v>
      </c>
      <c r="G63" s="112"/>
      <c r="H63" s="110" t="s">
        <v>105</v>
      </c>
      <c r="I63" s="110" t="s">
        <v>106</v>
      </c>
      <c r="J63" s="110" t="s">
        <v>107</v>
      </c>
      <c r="K63" s="110" t="s">
        <v>108</v>
      </c>
      <c r="L63" s="110" t="s">
        <v>109</v>
      </c>
      <c r="O63" s="113" t="s">
        <v>27</v>
      </c>
      <c r="P63" s="113" t="s">
        <v>113</v>
      </c>
      <c r="Q63" s="27">
        <v>1.5</v>
      </c>
      <c r="R63" s="113" t="s">
        <v>17</v>
      </c>
      <c r="S63" s="113" t="s">
        <v>92</v>
      </c>
    </row>
    <row r="64" ht="15.75" customHeight="1">
      <c r="A64" s="114" t="s">
        <v>111</v>
      </c>
      <c r="B64" s="115" t="s">
        <v>93</v>
      </c>
      <c r="C64" s="116">
        <f>1+12</f>
        <v>13</v>
      </c>
      <c r="D64" s="117">
        <v>46094.0</v>
      </c>
      <c r="E64" s="115" t="s">
        <v>87</v>
      </c>
      <c r="F64" s="130" t="s">
        <v>115</v>
      </c>
      <c r="G64" s="119"/>
      <c r="H64" s="131" t="s">
        <v>93</v>
      </c>
      <c r="I64" s="132">
        <v>13.0</v>
      </c>
      <c r="J64" s="117">
        <v>46094.0</v>
      </c>
      <c r="K64" s="133" t="s">
        <v>94</v>
      </c>
      <c r="L64" s="134" t="s">
        <v>115</v>
      </c>
      <c r="O64" s="113" t="s">
        <v>116</v>
      </c>
      <c r="P64" s="113" t="s">
        <v>117</v>
      </c>
      <c r="Q64" s="27">
        <v>4.0</v>
      </c>
      <c r="R64" s="113" t="s">
        <v>33</v>
      </c>
      <c r="S64" s="113" t="s">
        <v>118</v>
      </c>
    </row>
    <row r="65" ht="15.75" customHeight="1">
      <c r="A65" s="65"/>
      <c r="B65" s="65"/>
      <c r="C65" s="65"/>
      <c r="D65" s="65"/>
      <c r="E65" s="65"/>
      <c r="F65" s="135"/>
      <c r="G65" s="119"/>
      <c r="H65" s="65"/>
      <c r="I65" s="124"/>
      <c r="J65" s="65"/>
      <c r="K65" s="65"/>
      <c r="L65" s="125"/>
      <c r="O65" s="136" t="s">
        <v>119</v>
      </c>
    </row>
    <row r="66" ht="15.75" customHeight="1">
      <c r="A66" s="65"/>
      <c r="B66" s="65"/>
      <c r="C66" s="65"/>
      <c r="D66" s="65"/>
      <c r="E66" s="65"/>
      <c r="F66" s="126"/>
      <c r="G66" s="119"/>
      <c r="H66" s="65"/>
      <c r="I66" s="127"/>
      <c r="J66" s="65"/>
      <c r="K66" s="65"/>
      <c r="L66" s="125"/>
      <c r="O66" s="137"/>
    </row>
    <row r="67" ht="15.75" customHeight="1">
      <c r="A67" s="73"/>
      <c r="B67" s="73"/>
      <c r="C67" s="73"/>
      <c r="D67" s="73"/>
      <c r="E67" s="73"/>
      <c r="F67" s="129"/>
      <c r="G67" s="119"/>
      <c r="H67" s="73"/>
      <c r="I67" s="127"/>
      <c r="J67" s="73"/>
      <c r="K67" s="73"/>
      <c r="L67" s="128"/>
      <c r="O67" s="136"/>
    </row>
    <row r="68" ht="15.75" customHeight="1">
      <c r="A68" s="109"/>
      <c r="B68" s="110" t="s">
        <v>10</v>
      </c>
      <c r="C68" s="111" t="s">
        <v>103</v>
      </c>
      <c r="D68" s="110" t="s">
        <v>12</v>
      </c>
      <c r="E68" s="110" t="s">
        <v>104</v>
      </c>
      <c r="F68" s="110" t="s">
        <v>14</v>
      </c>
      <c r="G68" s="112"/>
      <c r="H68" s="110" t="s">
        <v>105</v>
      </c>
      <c r="I68" s="110" t="s">
        <v>106</v>
      </c>
      <c r="J68" s="110" t="s">
        <v>107</v>
      </c>
      <c r="K68" s="110" t="s">
        <v>108</v>
      </c>
      <c r="L68" s="110" t="s">
        <v>109</v>
      </c>
    </row>
    <row r="69" ht="15.75" customHeight="1">
      <c r="A69" s="114" t="s">
        <v>111</v>
      </c>
      <c r="B69" s="115" t="s">
        <v>98</v>
      </c>
      <c r="C69" s="116">
        <f>4+2</f>
        <v>6</v>
      </c>
      <c r="D69" s="117">
        <v>46094.0</v>
      </c>
      <c r="E69" s="115" t="s">
        <v>87</v>
      </c>
      <c r="F69" s="130" t="s">
        <v>120</v>
      </c>
      <c r="G69" s="119"/>
      <c r="H69" s="138" t="s">
        <v>98</v>
      </c>
      <c r="I69" s="132">
        <v>6.0</v>
      </c>
      <c r="J69" s="117">
        <v>46094.0</v>
      </c>
      <c r="K69" s="133" t="s">
        <v>94</v>
      </c>
      <c r="L69" s="122" t="s">
        <v>121</v>
      </c>
    </row>
    <row r="70" ht="15.75" customHeight="1">
      <c r="A70" s="65"/>
      <c r="B70" s="65"/>
      <c r="C70" s="65"/>
      <c r="D70" s="65"/>
      <c r="E70" s="65"/>
      <c r="F70" s="135"/>
      <c r="G70" s="119"/>
      <c r="H70" s="65"/>
      <c r="I70" s="124"/>
      <c r="J70" s="65"/>
      <c r="K70" s="65"/>
      <c r="L70" s="125"/>
    </row>
    <row r="71" ht="15.75" customHeight="1">
      <c r="A71" s="65"/>
      <c r="B71" s="65"/>
      <c r="C71" s="65"/>
      <c r="D71" s="65"/>
      <c r="E71" s="65"/>
      <c r="F71" s="126"/>
      <c r="G71" s="119"/>
      <c r="H71" s="65"/>
      <c r="I71" s="127"/>
      <c r="J71" s="65"/>
      <c r="K71" s="65"/>
      <c r="L71" s="125"/>
    </row>
    <row r="72" ht="15.75" customHeight="1">
      <c r="A72" s="73"/>
      <c r="B72" s="73"/>
      <c r="C72" s="73"/>
      <c r="D72" s="73"/>
      <c r="E72" s="73"/>
      <c r="F72" s="129"/>
      <c r="G72" s="119"/>
      <c r="H72" s="73"/>
      <c r="I72" s="127"/>
      <c r="J72" s="73"/>
      <c r="K72" s="73"/>
      <c r="L72" s="128"/>
    </row>
    <row r="73" ht="15.75" customHeight="1">
      <c r="L73" s="139" t="s">
        <v>122</v>
      </c>
    </row>
    <row r="74" ht="15.75" customHeight="1"/>
    <row r="75" ht="15.75" customHeight="1">
      <c r="A75" s="140" t="s">
        <v>123</v>
      </c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2"/>
    </row>
    <row r="76" ht="15.75" customHeight="1">
      <c r="A76" s="103"/>
      <c r="B76" s="141" t="s">
        <v>2</v>
      </c>
      <c r="C76" s="105"/>
      <c r="D76" s="105"/>
      <c r="E76" s="105"/>
      <c r="F76" s="106"/>
      <c r="G76" s="107"/>
      <c r="H76" s="142" t="s">
        <v>124</v>
      </c>
      <c r="I76" s="105"/>
      <c r="J76" s="105"/>
      <c r="K76" s="105"/>
      <c r="L76" s="106"/>
      <c r="O76" s="143" t="s">
        <v>125</v>
      </c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</row>
    <row r="77" ht="15.75" customHeight="1">
      <c r="A77" s="145"/>
      <c r="B77" s="146" t="s">
        <v>10</v>
      </c>
      <c r="C77" s="147" t="s">
        <v>103</v>
      </c>
      <c r="D77" s="146" t="s">
        <v>12</v>
      </c>
      <c r="E77" s="146" t="s">
        <v>104</v>
      </c>
      <c r="F77" s="146" t="s">
        <v>14</v>
      </c>
      <c r="G77" s="148"/>
      <c r="H77" s="146" t="s">
        <v>105</v>
      </c>
      <c r="I77" s="146" t="s">
        <v>106</v>
      </c>
      <c r="J77" s="146" t="s">
        <v>107</v>
      </c>
      <c r="K77" s="146" t="s">
        <v>108</v>
      </c>
      <c r="L77" s="146" t="s">
        <v>109</v>
      </c>
      <c r="O77" s="149" t="s">
        <v>4</v>
      </c>
      <c r="P77" s="149" t="s">
        <v>5</v>
      </c>
      <c r="Q77" s="149" t="s">
        <v>6</v>
      </c>
      <c r="R77" s="149" t="s">
        <v>7</v>
      </c>
      <c r="S77" s="149" t="s">
        <v>8</v>
      </c>
      <c r="T77" s="144"/>
      <c r="U77" s="143" t="s">
        <v>126</v>
      </c>
      <c r="V77" s="144"/>
      <c r="W77" s="144"/>
      <c r="X77" s="144"/>
      <c r="Y77" s="144"/>
      <c r="Z77" s="144"/>
    </row>
    <row r="78" ht="15.75" customHeight="1">
      <c r="A78" s="150" t="s">
        <v>127</v>
      </c>
      <c r="B78" s="151" t="s">
        <v>128</v>
      </c>
      <c r="C78" s="151">
        <v>10.0</v>
      </c>
      <c r="D78" s="152" t="s">
        <v>129</v>
      </c>
      <c r="E78" s="151" t="s">
        <v>130</v>
      </c>
      <c r="F78" s="152" t="s">
        <v>131</v>
      </c>
      <c r="G78" s="153"/>
      <c r="H78" s="154" t="s">
        <v>132</v>
      </c>
      <c r="I78" s="154">
        <v>10.0</v>
      </c>
      <c r="J78" s="155" t="s">
        <v>129</v>
      </c>
      <c r="K78" s="154" t="s">
        <v>22</v>
      </c>
      <c r="L78" s="151" t="s">
        <v>133</v>
      </c>
      <c r="O78" s="143" t="s">
        <v>40</v>
      </c>
      <c r="P78" s="143" t="s">
        <v>16</v>
      </c>
      <c r="Q78" s="143" t="s">
        <v>134</v>
      </c>
      <c r="R78" s="143" t="s">
        <v>17</v>
      </c>
      <c r="S78" s="143" t="s">
        <v>92</v>
      </c>
      <c r="T78" s="144"/>
      <c r="U78" s="149" t="s">
        <v>4</v>
      </c>
      <c r="V78" s="149" t="s">
        <v>5</v>
      </c>
      <c r="W78" s="149" t="s">
        <v>6</v>
      </c>
      <c r="X78" s="149" t="s">
        <v>7</v>
      </c>
      <c r="Y78" s="149" t="s">
        <v>8</v>
      </c>
      <c r="Z78" s="144"/>
    </row>
    <row r="79" ht="51.75" customHeight="1">
      <c r="A79" s="65"/>
      <c r="B79" s="156" t="s">
        <v>135</v>
      </c>
      <c r="C79" s="156">
        <v>10.0</v>
      </c>
      <c r="D79" s="156" t="s">
        <v>129</v>
      </c>
      <c r="E79" s="156" t="s">
        <v>136</v>
      </c>
      <c r="F79" s="156" t="s">
        <v>131</v>
      </c>
      <c r="G79" s="157"/>
      <c r="H79" s="158" t="s">
        <v>137</v>
      </c>
      <c r="I79" s="158">
        <v>10.0</v>
      </c>
      <c r="J79" s="158" t="s">
        <v>129</v>
      </c>
      <c r="K79" s="158" t="s">
        <v>138</v>
      </c>
      <c r="L79" s="156" t="s">
        <v>133</v>
      </c>
      <c r="O79" s="143" t="s">
        <v>139</v>
      </c>
      <c r="P79" s="143" t="s">
        <v>16</v>
      </c>
      <c r="Q79" s="143" t="s">
        <v>134</v>
      </c>
      <c r="R79" s="143" t="s">
        <v>17</v>
      </c>
      <c r="S79" s="143" t="s">
        <v>92</v>
      </c>
      <c r="T79" s="144"/>
      <c r="U79" s="143" t="s">
        <v>35</v>
      </c>
      <c r="V79" s="143" t="s">
        <v>16</v>
      </c>
      <c r="W79" s="143" t="s">
        <v>134</v>
      </c>
      <c r="X79" s="143" t="s">
        <v>17</v>
      </c>
      <c r="Y79" s="143" t="s">
        <v>92</v>
      </c>
      <c r="Z79" s="144"/>
    </row>
    <row r="80" ht="19.5" customHeight="1">
      <c r="A80" s="73"/>
      <c r="B80" s="159" t="s">
        <v>140</v>
      </c>
      <c r="G80" s="160"/>
      <c r="H80" s="161" t="s">
        <v>140</v>
      </c>
      <c r="O80" s="143" t="s">
        <v>57</v>
      </c>
      <c r="P80" s="143" t="s">
        <v>141</v>
      </c>
      <c r="Q80" s="143" t="s">
        <v>142</v>
      </c>
      <c r="R80" s="143" t="s">
        <v>17</v>
      </c>
      <c r="S80" s="143" t="s">
        <v>96</v>
      </c>
      <c r="T80" s="144"/>
      <c r="U80" s="143" t="s">
        <v>143</v>
      </c>
      <c r="V80" s="143" t="s">
        <v>16</v>
      </c>
      <c r="W80" s="143" t="s">
        <v>134</v>
      </c>
      <c r="X80" s="143" t="s">
        <v>17</v>
      </c>
      <c r="Y80" s="143" t="s">
        <v>92</v>
      </c>
      <c r="Z80" s="144"/>
    </row>
    <row r="81" ht="15.75" customHeight="1">
      <c r="A81" s="162"/>
      <c r="B81" s="163" t="s">
        <v>10</v>
      </c>
      <c r="C81" s="163" t="s">
        <v>103</v>
      </c>
      <c r="D81" s="164" t="s">
        <v>12</v>
      </c>
      <c r="E81" s="164" t="s">
        <v>104</v>
      </c>
      <c r="F81" s="164" t="s">
        <v>14</v>
      </c>
      <c r="G81" s="165"/>
      <c r="H81" s="164" t="s">
        <v>105</v>
      </c>
      <c r="I81" s="164" t="s">
        <v>106</v>
      </c>
      <c r="J81" s="164" t="s">
        <v>107</v>
      </c>
      <c r="K81" s="164" t="s">
        <v>108</v>
      </c>
      <c r="L81" s="164" t="s">
        <v>109</v>
      </c>
      <c r="O81" s="143" t="s">
        <v>144</v>
      </c>
      <c r="P81" s="143" t="s">
        <v>117</v>
      </c>
      <c r="Q81" s="143" t="s">
        <v>145</v>
      </c>
      <c r="R81" s="143" t="s">
        <v>33</v>
      </c>
      <c r="S81" s="143" t="s">
        <v>58</v>
      </c>
      <c r="T81" s="144"/>
      <c r="U81" s="143" t="s">
        <v>146</v>
      </c>
      <c r="V81" s="143" t="s">
        <v>141</v>
      </c>
      <c r="W81" s="143" t="s">
        <v>142</v>
      </c>
      <c r="X81" s="143" t="s">
        <v>17</v>
      </c>
      <c r="Y81" s="143" t="s">
        <v>96</v>
      </c>
      <c r="Z81" s="144"/>
    </row>
    <row r="82" ht="15.75" customHeight="1">
      <c r="A82" s="166" t="s">
        <v>147</v>
      </c>
      <c r="B82" s="167" t="s">
        <v>128</v>
      </c>
      <c r="C82" s="167">
        <v>7.0</v>
      </c>
      <c r="D82" s="167" t="s">
        <v>129</v>
      </c>
      <c r="E82" s="167" t="s">
        <v>130</v>
      </c>
      <c r="F82" s="167" t="s">
        <v>148</v>
      </c>
      <c r="G82" s="153"/>
      <c r="H82" s="168" t="s">
        <v>149</v>
      </c>
      <c r="I82" s="168">
        <v>7.0</v>
      </c>
      <c r="J82" s="169" t="s">
        <v>129</v>
      </c>
      <c r="K82" s="169" t="s">
        <v>22</v>
      </c>
      <c r="L82" s="170" t="s">
        <v>150</v>
      </c>
      <c r="P82" s="144"/>
      <c r="Q82" s="144"/>
      <c r="R82" s="171" t="s">
        <v>151</v>
      </c>
      <c r="S82" s="143" t="s">
        <v>152</v>
      </c>
      <c r="T82" s="144"/>
      <c r="U82" s="143" t="s">
        <v>51</v>
      </c>
      <c r="V82" s="143" t="s">
        <v>117</v>
      </c>
      <c r="W82" s="143" t="s">
        <v>145</v>
      </c>
      <c r="X82" s="143" t="s">
        <v>33</v>
      </c>
      <c r="Y82" s="143" t="s">
        <v>58</v>
      </c>
      <c r="Z82" s="144"/>
    </row>
    <row r="83" ht="15.75" customHeight="1">
      <c r="A83" s="73"/>
      <c r="B83" s="172" t="s">
        <v>135</v>
      </c>
      <c r="C83" s="172">
        <v>11.0</v>
      </c>
      <c r="D83" s="172" t="s">
        <v>129</v>
      </c>
      <c r="E83" s="172" t="s">
        <v>136</v>
      </c>
      <c r="F83" s="172" t="s">
        <v>148</v>
      </c>
      <c r="G83" s="153"/>
      <c r="H83" s="173" t="s">
        <v>153</v>
      </c>
      <c r="I83" s="173">
        <v>11.0</v>
      </c>
      <c r="J83" s="173" t="s">
        <v>129</v>
      </c>
      <c r="K83" s="173" t="s">
        <v>138</v>
      </c>
      <c r="L83" s="172" t="s">
        <v>150</v>
      </c>
      <c r="O83" s="144"/>
      <c r="P83" s="144"/>
      <c r="Q83" s="144"/>
      <c r="R83" s="144"/>
      <c r="S83" s="144"/>
      <c r="T83" s="144"/>
      <c r="V83" s="144"/>
      <c r="W83" s="144"/>
      <c r="X83" s="171" t="s">
        <v>154</v>
      </c>
      <c r="Y83" s="143" t="s">
        <v>152</v>
      </c>
      <c r="Z83" s="144"/>
    </row>
    <row r="84" ht="15.75" customHeight="1">
      <c r="B84" s="174" t="s">
        <v>155</v>
      </c>
      <c r="G84" s="175"/>
      <c r="H84" s="176" t="s">
        <v>156</v>
      </c>
      <c r="P84" s="177" t="s">
        <v>157</v>
      </c>
      <c r="Q84" s="144"/>
      <c r="R84" s="144"/>
      <c r="S84" s="144"/>
      <c r="T84" s="144"/>
      <c r="V84" s="144"/>
      <c r="W84" s="144"/>
      <c r="X84" s="144"/>
      <c r="Y84" s="144"/>
      <c r="Z84" s="144"/>
    </row>
    <row r="85" ht="15.75" customHeight="1">
      <c r="O85" s="144"/>
      <c r="P85" s="178"/>
      <c r="Q85" s="144"/>
      <c r="R85" s="144"/>
      <c r="S85" s="144"/>
      <c r="T85" s="144"/>
      <c r="V85" s="144"/>
      <c r="W85" s="144"/>
      <c r="X85" s="144"/>
      <c r="Y85" s="144"/>
      <c r="Z85" s="144"/>
    </row>
    <row r="86" ht="15.75" customHeight="1">
      <c r="J86" s="27"/>
      <c r="O86" s="144"/>
      <c r="P86" s="177" t="s">
        <v>158</v>
      </c>
      <c r="Q86" s="144"/>
      <c r="R86" s="144"/>
      <c r="S86" s="144"/>
      <c r="T86" s="144"/>
      <c r="U86" s="144"/>
      <c r="V86" s="144"/>
      <c r="W86" s="144"/>
      <c r="X86" s="144"/>
      <c r="Y86" s="144"/>
      <c r="Z86" s="144"/>
    </row>
    <row r="87" ht="15.75" customHeight="1"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</row>
    <row r="88" ht="15.75" customHeight="1">
      <c r="A88" s="179" t="s">
        <v>159</v>
      </c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2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</row>
    <row r="89" ht="15.75" customHeight="1">
      <c r="A89" s="103"/>
      <c r="B89" s="180" t="s">
        <v>2</v>
      </c>
      <c r="C89" s="105"/>
      <c r="D89" s="105"/>
      <c r="E89" s="105"/>
      <c r="F89" s="106"/>
      <c r="G89" s="107"/>
      <c r="H89" s="180" t="s">
        <v>3</v>
      </c>
      <c r="I89" s="105"/>
      <c r="J89" s="105"/>
      <c r="K89" s="105"/>
      <c r="L89" s="106"/>
      <c r="O89" s="108" t="s">
        <v>4</v>
      </c>
      <c r="P89" s="108" t="s">
        <v>5</v>
      </c>
      <c r="Q89" s="108" t="s">
        <v>6</v>
      </c>
      <c r="R89" s="108" t="s">
        <v>7</v>
      </c>
      <c r="S89" s="108" t="s">
        <v>8</v>
      </c>
    </row>
    <row r="90" ht="15.75" customHeight="1">
      <c r="A90" s="181"/>
      <c r="B90" s="182" t="s">
        <v>10</v>
      </c>
      <c r="C90" s="183" t="s">
        <v>103</v>
      </c>
      <c r="D90" s="182" t="s">
        <v>12</v>
      </c>
      <c r="E90" s="182" t="s">
        <v>104</v>
      </c>
      <c r="F90" s="182" t="s">
        <v>14</v>
      </c>
      <c r="G90" s="112"/>
      <c r="H90" s="184" t="s">
        <v>105</v>
      </c>
      <c r="I90" s="185" t="s">
        <v>106</v>
      </c>
      <c r="J90" s="184" t="s">
        <v>107</v>
      </c>
      <c r="K90" s="184" t="s">
        <v>108</v>
      </c>
      <c r="L90" s="185" t="s">
        <v>109</v>
      </c>
      <c r="O90" s="113" t="s">
        <v>40</v>
      </c>
      <c r="P90" s="113" t="s">
        <v>16</v>
      </c>
      <c r="Q90" s="113" t="s">
        <v>160</v>
      </c>
      <c r="R90" s="113" t="s">
        <v>17</v>
      </c>
      <c r="S90" s="113" t="s">
        <v>37</v>
      </c>
    </row>
    <row r="91" ht="15.75" customHeight="1">
      <c r="A91" s="114" t="s">
        <v>161</v>
      </c>
      <c r="B91" s="115" t="s">
        <v>162</v>
      </c>
      <c r="C91" s="115">
        <v>24.0</v>
      </c>
      <c r="D91" s="186">
        <v>46100.0</v>
      </c>
      <c r="E91" s="115" t="s">
        <v>163</v>
      </c>
      <c r="F91" s="130" t="s">
        <v>115</v>
      </c>
      <c r="G91" s="119"/>
      <c r="H91" s="115" t="s">
        <v>162</v>
      </c>
      <c r="I91" s="115">
        <v>24.0</v>
      </c>
      <c r="J91" s="187" t="s">
        <v>164</v>
      </c>
      <c r="K91" s="115" t="s">
        <v>25</v>
      </c>
      <c r="L91" s="188" t="s">
        <v>165</v>
      </c>
      <c r="O91" s="113" t="s">
        <v>15</v>
      </c>
      <c r="P91" s="113" t="s">
        <v>16</v>
      </c>
      <c r="Q91" s="113" t="s">
        <v>160</v>
      </c>
      <c r="R91" s="113" t="s">
        <v>17</v>
      </c>
      <c r="S91" s="113" t="s">
        <v>37</v>
      </c>
    </row>
    <row r="92" ht="15.75" customHeight="1">
      <c r="A92" s="65"/>
      <c r="B92" s="65"/>
      <c r="C92" s="65"/>
      <c r="D92" s="65"/>
      <c r="E92" s="65"/>
      <c r="F92" s="130" t="s">
        <v>165</v>
      </c>
      <c r="G92" s="119"/>
      <c r="H92" s="65"/>
      <c r="I92" s="65"/>
      <c r="J92" s="65"/>
      <c r="K92" s="65"/>
      <c r="L92" s="189"/>
      <c r="O92" s="113" t="s">
        <v>15</v>
      </c>
      <c r="P92" s="113" t="s">
        <v>113</v>
      </c>
      <c r="Q92" s="113" t="s">
        <v>145</v>
      </c>
      <c r="R92" s="113" t="s">
        <v>17</v>
      </c>
      <c r="S92" s="113" t="s">
        <v>46</v>
      </c>
    </row>
    <row r="93" ht="15.75" customHeight="1">
      <c r="A93" s="65"/>
      <c r="B93" s="65"/>
      <c r="C93" s="65"/>
      <c r="D93" s="65"/>
      <c r="E93" s="65"/>
      <c r="F93" s="130" t="s">
        <v>112</v>
      </c>
      <c r="G93" s="119"/>
      <c r="H93" s="65"/>
      <c r="I93" s="65"/>
      <c r="J93" s="65"/>
      <c r="K93" s="65"/>
      <c r="L93" s="126"/>
      <c r="O93" s="113" t="s">
        <v>39</v>
      </c>
      <c r="P93" s="113" t="s">
        <v>16</v>
      </c>
      <c r="Q93" s="113" t="s">
        <v>160</v>
      </c>
      <c r="R93" s="113" t="s">
        <v>17</v>
      </c>
      <c r="S93" s="113" t="s">
        <v>37</v>
      </c>
    </row>
    <row r="94" ht="15.75" customHeight="1">
      <c r="A94" s="73"/>
      <c r="B94" s="73"/>
      <c r="C94" s="73"/>
      <c r="D94" s="73"/>
      <c r="E94" s="73"/>
      <c r="F94" s="190" t="s">
        <v>166</v>
      </c>
      <c r="G94" s="119"/>
      <c r="H94" s="73"/>
      <c r="I94" s="73"/>
      <c r="J94" s="73"/>
      <c r="K94" s="73"/>
      <c r="L94" s="129"/>
      <c r="O94" s="113" t="s">
        <v>167</v>
      </c>
      <c r="P94" s="113" t="s">
        <v>16</v>
      </c>
      <c r="Q94" s="113" t="s">
        <v>134</v>
      </c>
      <c r="R94" s="113" t="s">
        <v>17</v>
      </c>
      <c r="S94" s="113" t="s">
        <v>92</v>
      </c>
    </row>
    <row r="95" ht="15.75" customHeight="1">
      <c r="A95" s="181"/>
      <c r="B95" s="182" t="s">
        <v>10</v>
      </c>
      <c r="C95" s="183" t="s">
        <v>103</v>
      </c>
      <c r="D95" s="182" t="s">
        <v>12</v>
      </c>
      <c r="E95" s="182" t="s">
        <v>104</v>
      </c>
      <c r="F95" s="182" t="s">
        <v>14</v>
      </c>
      <c r="G95" s="112"/>
      <c r="H95" s="184" t="s">
        <v>105</v>
      </c>
      <c r="I95" s="185" t="s">
        <v>106</v>
      </c>
      <c r="J95" s="184" t="s">
        <v>107</v>
      </c>
      <c r="K95" s="184" t="s">
        <v>108</v>
      </c>
      <c r="L95" s="185" t="s">
        <v>109</v>
      </c>
      <c r="O95" s="113" t="s">
        <v>75</v>
      </c>
      <c r="P95" s="113" t="s">
        <v>113</v>
      </c>
      <c r="Q95" s="113" t="s">
        <v>142</v>
      </c>
      <c r="R95" s="113" t="s">
        <v>17</v>
      </c>
      <c r="S95" s="113" t="s">
        <v>96</v>
      </c>
    </row>
    <row r="96" ht="15.75" customHeight="1">
      <c r="A96" s="114" t="s">
        <v>161</v>
      </c>
      <c r="B96" s="115" t="s">
        <v>168</v>
      </c>
      <c r="C96" s="115">
        <v>16.0</v>
      </c>
      <c r="D96" s="186">
        <v>46100.0</v>
      </c>
      <c r="E96" s="115" t="s">
        <v>89</v>
      </c>
      <c r="F96" s="130" t="s">
        <v>115</v>
      </c>
      <c r="G96" s="119"/>
      <c r="H96" s="115" t="s">
        <v>169</v>
      </c>
      <c r="I96" s="115">
        <v>16.0</v>
      </c>
      <c r="J96" s="187" t="s">
        <v>164</v>
      </c>
      <c r="K96" s="115" t="s">
        <v>69</v>
      </c>
      <c r="L96" s="188" t="s">
        <v>165</v>
      </c>
      <c r="O96" s="113" t="s">
        <v>27</v>
      </c>
      <c r="P96" s="113" t="s">
        <v>117</v>
      </c>
      <c r="Q96" s="113" t="s">
        <v>170</v>
      </c>
      <c r="R96" s="113" t="s">
        <v>33</v>
      </c>
      <c r="S96" s="113" t="s">
        <v>171</v>
      </c>
    </row>
    <row r="97" ht="15.75" customHeight="1">
      <c r="A97" s="65"/>
      <c r="B97" s="65"/>
      <c r="C97" s="65"/>
      <c r="D97" s="65"/>
      <c r="E97" s="65"/>
      <c r="F97" s="130" t="s">
        <v>165</v>
      </c>
      <c r="G97" s="119"/>
      <c r="H97" s="65"/>
      <c r="I97" s="65"/>
      <c r="J97" s="65"/>
      <c r="K97" s="65"/>
      <c r="L97" s="123"/>
      <c r="O97" s="136" t="s">
        <v>119</v>
      </c>
    </row>
    <row r="98" ht="15.75" customHeight="1">
      <c r="A98" s="65"/>
      <c r="B98" s="65"/>
      <c r="C98" s="65"/>
      <c r="D98" s="65"/>
      <c r="E98" s="65"/>
      <c r="F98" s="130" t="s">
        <v>112</v>
      </c>
      <c r="G98" s="119"/>
      <c r="H98" s="65"/>
      <c r="I98" s="65"/>
      <c r="J98" s="65"/>
      <c r="K98" s="65"/>
      <c r="L98" s="126"/>
      <c r="O98" s="137"/>
    </row>
    <row r="99" ht="15.75" customHeight="1">
      <c r="A99" s="73"/>
      <c r="B99" s="73"/>
      <c r="C99" s="73"/>
      <c r="D99" s="73"/>
      <c r="E99" s="73"/>
      <c r="F99" s="190" t="s">
        <v>166</v>
      </c>
      <c r="G99" s="119"/>
      <c r="H99" s="73"/>
      <c r="I99" s="73"/>
      <c r="J99" s="73"/>
      <c r="K99" s="73"/>
      <c r="L99" s="129"/>
      <c r="O99" s="136" t="s">
        <v>172</v>
      </c>
    </row>
    <row r="100" ht="15.75" customHeight="1">
      <c r="A100" s="191"/>
      <c r="B100" s="182" t="s">
        <v>10</v>
      </c>
      <c r="C100" s="192" t="s">
        <v>103</v>
      </c>
      <c r="D100" s="182" t="s">
        <v>12</v>
      </c>
      <c r="E100" s="182" t="s">
        <v>104</v>
      </c>
      <c r="F100" s="182" t="s">
        <v>14</v>
      </c>
      <c r="G100" s="112"/>
      <c r="H100" s="184" t="s">
        <v>105</v>
      </c>
      <c r="I100" s="185" t="s">
        <v>106</v>
      </c>
      <c r="J100" s="184" t="s">
        <v>107</v>
      </c>
      <c r="K100" s="184" t="s">
        <v>108</v>
      </c>
      <c r="L100" s="185" t="s">
        <v>109</v>
      </c>
    </row>
    <row r="101" ht="15.75" customHeight="1">
      <c r="A101" s="114" t="s">
        <v>161</v>
      </c>
      <c r="B101" s="115" t="s">
        <v>173</v>
      </c>
      <c r="C101" s="115">
        <v>9.0</v>
      </c>
      <c r="D101" s="186">
        <v>46100.0</v>
      </c>
      <c r="E101" s="115" t="s">
        <v>174</v>
      </c>
      <c r="F101" s="130" t="s">
        <v>115</v>
      </c>
      <c r="G101" s="119"/>
      <c r="H101" s="115" t="s">
        <v>173</v>
      </c>
      <c r="I101" s="115">
        <v>9.0</v>
      </c>
      <c r="J101" s="187" t="s">
        <v>175</v>
      </c>
      <c r="K101" s="115" t="s">
        <v>176</v>
      </c>
      <c r="L101" s="130" t="s">
        <v>177</v>
      </c>
    </row>
    <row r="102" ht="15.75" customHeight="1">
      <c r="A102" s="65"/>
      <c r="B102" s="65"/>
      <c r="C102" s="65"/>
      <c r="D102" s="65"/>
      <c r="E102" s="65"/>
      <c r="F102" s="130" t="s">
        <v>112</v>
      </c>
      <c r="G102" s="119"/>
      <c r="H102" s="65"/>
      <c r="I102" s="65"/>
      <c r="J102" s="65"/>
      <c r="K102" s="65"/>
      <c r="L102" s="123"/>
    </row>
    <row r="103" ht="15.75" customHeight="1">
      <c r="A103" s="65"/>
      <c r="B103" s="65"/>
      <c r="C103" s="65"/>
      <c r="D103" s="65"/>
      <c r="E103" s="65"/>
      <c r="F103" s="130" t="s">
        <v>165</v>
      </c>
      <c r="G103" s="119"/>
      <c r="H103" s="65"/>
      <c r="I103" s="65"/>
      <c r="J103" s="65"/>
      <c r="K103" s="65"/>
      <c r="L103" s="126"/>
    </row>
    <row r="104" ht="15.75" customHeight="1">
      <c r="A104" s="193" t="s">
        <v>178</v>
      </c>
      <c r="B104" s="73"/>
      <c r="C104" s="194">
        <v>2.0</v>
      </c>
      <c r="D104" s="73"/>
      <c r="E104" s="73"/>
      <c r="F104" s="195" t="s">
        <v>179</v>
      </c>
      <c r="G104" s="119"/>
      <c r="H104" s="73"/>
      <c r="I104" s="73"/>
      <c r="J104" s="73"/>
      <c r="K104" s="73"/>
      <c r="L104" s="129"/>
    </row>
    <row r="105" ht="15.75" customHeight="1">
      <c r="A105" s="196" t="s">
        <v>180</v>
      </c>
      <c r="H105" s="197" t="s">
        <v>180</v>
      </c>
      <c r="I105" s="198"/>
      <c r="J105" s="198"/>
      <c r="K105" s="198"/>
      <c r="L105" s="199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25">
    <mergeCell ref="D6:D11"/>
    <mergeCell ref="E6:E11"/>
    <mergeCell ref="H6:H11"/>
    <mergeCell ref="I6:I11"/>
    <mergeCell ref="J6:J11"/>
    <mergeCell ref="K6:K11"/>
    <mergeCell ref="B14:B20"/>
    <mergeCell ref="C14:C20"/>
    <mergeCell ref="D14:D20"/>
    <mergeCell ref="E14:E20"/>
    <mergeCell ref="C22:C29"/>
    <mergeCell ref="D22:D29"/>
    <mergeCell ref="H23:H29"/>
    <mergeCell ref="I23:I27"/>
    <mergeCell ref="D48:D52"/>
    <mergeCell ref="E49:E52"/>
    <mergeCell ref="B6:B11"/>
    <mergeCell ref="B22:B29"/>
    <mergeCell ref="A36:A52"/>
    <mergeCell ref="B36:B39"/>
    <mergeCell ref="C36:C39"/>
    <mergeCell ref="D36:D39"/>
    <mergeCell ref="E36:E39"/>
    <mergeCell ref="B48:B52"/>
    <mergeCell ref="C48:C52"/>
    <mergeCell ref="A59:A62"/>
    <mergeCell ref="B59:B62"/>
    <mergeCell ref="C59:C62"/>
    <mergeCell ref="D59:D62"/>
    <mergeCell ref="E59:E62"/>
    <mergeCell ref="C69:C72"/>
    <mergeCell ref="D69:D72"/>
    <mergeCell ref="A64:A67"/>
    <mergeCell ref="B64:B67"/>
    <mergeCell ref="C64:C67"/>
    <mergeCell ref="D64:D67"/>
    <mergeCell ref="E64:E67"/>
    <mergeCell ref="B69:B72"/>
    <mergeCell ref="E69:E72"/>
    <mergeCell ref="A69:A72"/>
    <mergeCell ref="A78:A80"/>
    <mergeCell ref="A82:A83"/>
    <mergeCell ref="B91:B94"/>
    <mergeCell ref="C91:C94"/>
    <mergeCell ref="D91:D94"/>
    <mergeCell ref="E91:E94"/>
    <mergeCell ref="B101:B104"/>
    <mergeCell ref="C101:C103"/>
    <mergeCell ref="D101:D104"/>
    <mergeCell ref="E101:E104"/>
    <mergeCell ref="A91:A94"/>
    <mergeCell ref="A96:A99"/>
    <mergeCell ref="B96:B99"/>
    <mergeCell ref="C96:C99"/>
    <mergeCell ref="D96:D99"/>
    <mergeCell ref="E96:E99"/>
    <mergeCell ref="A101:A103"/>
    <mergeCell ref="D42:D46"/>
    <mergeCell ref="E42:E46"/>
    <mergeCell ref="H42:H45"/>
    <mergeCell ref="I42:I45"/>
    <mergeCell ref="J42:J45"/>
    <mergeCell ref="K42:K45"/>
    <mergeCell ref="H48:H52"/>
    <mergeCell ref="J59:J62"/>
    <mergeCell ref="J64:J67"/>
    <mergeCell ref="H69:H72"/>
    <mergeCell ref="J69:J72"/>
    <mergeCell ref="K69:K72"/>
    <mergeCell ref="K48:K52"/>
    <mergeCell ref="A56:L56"/>
    <mergeCell ref="B57:F57"/>
    <mergeCell ref="H57:L57"/>
    <mergeCell ref="H59:H62"/>
    <mergeCell ref="K59:K62"/>
    <mergeCell ref="H64:H67"/>
    <mergeCell ref="K64:K67"/>
    <mergeCell ref="A75:L75"/>
    <mergeCell ref="B76:F76"/>
    <mergeCell ref="H76:L76"/>
    <mergeCell ref="B80:F80"/>
    <mergeCell ref="H80:L80"/>
    <mergeCell ref="B84:F84"/>
    <mergeCell ref="H84:L84"/>
    <mergeCell ref="A88:L88"/>
    <mergeCell ref="B89:F89"/>
    <mergeCell ref="H89:L89"/>
    <mergeCell ref="I91:I94"/>
    <mergeCell ref="J91:J94"/>
    <mergeCell ref="K91:K94"/>
    <mergeCell ref="J101:J104"/>
    <mergeCell ref="K101:K104"/>
    <mergeCell ref="A105:F105"/>
    <mergeCell ref="H105:L105"/>
    <mergeCell ref="H91:H94"/>
    <mergeCell ref="H96:H99"/>
    <mergeCell ref="I96:I99"/>
    <mergeCell ref="J96:J99"/>
    <mergeCell ref="K96:K99"/>
    <mergeCell ref="H101:H104"/>
    <mergeCell ref="I101:I104"/>
    <mergeCell ref="J23:J27"/>
    <mergeCell ref="K23:K27"/>
    <mergeCell ref="I28:I29"/>
    <mergeCell ref="J28:J29"/>
    <mergeCell ref="H36:H39"/>
    <mergeCell ref="I36:I39"/>
    <mergeCell ref="J36:J39"/>
    <mergeCell ref="K36:K39"/>
    <mergeCell ref="K28:K29"/>
    <mergeCell ref="L28:L29"/>
    <mergeCell ref="A33:L33"/>
    <mergeCell ref="B34:F34"/>
    <mergeCell ref="H34:L34"/>
    <mergeCell ref="A1:L1"/>
    <mergeCell ref="A3:L3"/>
    <mergeCell ref="B4:F4"/>
    <mergeCell ref="H4:L4"/>
    <mergeCell ref="A6:A30"/>
    <mergeCell ref="C6:C11"/>
    <mergeCell ref="H14:H18"/>
    <mergeCell ref="B42:B46"/>
    <mergeCell ref="C42:C46"/>
    <mergeCell ref="I48:I52"/>
    <mergeCell ref="J48:J5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4" max="14" width="23.75"/>
    <col customWidth="1" min="15" max="15" width="9.75"/>
    <col customWidth="1" min="16" max="16" width="9.0"/>
  </cols>
  <sheetData>
    <row r="3">
      <c r="A3" s="200" t="s">
        <v>181</v>
      </c>
      <c r="N3" s="108" t="s">
        <v>4</v>
      </c>
      <c r="O3" s="108" t="s">
        <v>5</v>
      </c>
      <c r="P3" s="108" t="s">
        <v>182</v>
      </c>
      <c r="Q3" s="108" t="s">
        <v>7</v>
      </c>
      <c r="R3" s="108" t="s">
        <v>8</v>
      </c>
    </row>
    <row r="4">
      <c r="A4" s="201"/>
      <c r="B4" s="202" t="s">
        <v>2</v>
      </c>
      <c r="C4" s="105"/>
      <c r="D4" s="105"/>
      <c r="E4" s="105"/>
      <c r="F4" s="106"/>
      <c r="G4" s="203"/>
      <c r="H4" s="202" t="s">
        <v>3</v>
      </c>
      <c r="I4" s="105"/>
      <c r="J4" s="105"/>
      <c r="K4" s="105"/>
      <c r="L4" s="106"/>
      <c r="N4" s="113" t="s">
        <v>183</v>
      </c>
      <c r="O4" s="113" t="s">
        <v>16</v>
      </c>
      <c r="P4" s="113" t="s">
        <v>184</v>
      </c>
      <c r="Q4" s="113" t="s">
        <v>17</v>
      </c>
      <c r="R4" s="113" t="s">
        <v>90</v>
      </c>
    </row>
    <row r="5">
      <c r="A5" s="204"/>
      <c r="B5" s="205" t="s">
        <v>10</v>
      </c>
      <c r="C5" s="206" t="s">
        <v>103</v>
      </c>
      <c r="D5" s="205" t="s">
        <v>12</v>
      </c>
      <c r="E5" s="205" t="s">
        <v>104</v>
      </c>
      <c r="F5" s="205" t="s">
        <v>14</v>
      </c>
      <c r="G5" s="207"/>
      <c r="H5" s="208" t="s">
        <v>105</v>
      </c>
      <c r="I5" s="208" t="s">
        <v>106</v>
      </c>
      <c r="J5" s="208" t="s">
        <v>107</v>
      </c>
      <c r="K5" s="208" t="s">
        <v>108</v>
      </c>
      <c r="L5" s="205" t="s">
        <v>109</v>
      </c>
      <c r="N5" s="113" t="s">
        <v>183</v>
      </c>
      <c r="O5" s="113" t="s">
        <v>113</v>
      </c>
      <c r="P5" s="113" t="s">
        <v>184</v>
      </c>
      <c r="Q5" s="113" t="s">
        <v>17</v>
      </c>
      <c r="R5" s="113" t="s">
        <v>90</v>
      </c>
    </row>
    <row r="6">
      <c r="A6" s="209" t="s">
        <v>185</v>
      </c>
      <c r="B6" s="210" t="s">
        <v>186</v>
      </c>
      <c r="C6" s="210">
        <v>17.0</v>
      </c>
      <c r="D6" s="211">
        <v>46101.0</v>
      </c>
      <c r="E6" s="210" t="s">
        <v>187</v>
      </c>
      <c r="F6" s="212" t="s">
        <v>188</v>
      </c>
      <c r="G6" s="213"/>
      <c r="H6" s="209" t="s">
        <v>185</v>
      </c>
      <c r="I6" s="210" t="s">
        <v>186</v>
      </c>
      <c r="J6" s="211">
        <v>46101.0</v>
      </c>
      <c r="K6" s="214" t="s">
        <v>189</v>
      </c>
      <c r="L6" s="212" t="s">
        <v>188</v>
      </c>
      <c r="N6" s="113" t="s">
        <v>39</v>
      </c>
      <c r="O6" s="113" t="s">
        <v>16</v>
      </c>
      <c r="P6" s="113" t="s">
        <v>190</v>
      </c>
      <c r="Q6" s="113" t="s">
        <v>17</v>
      </c>
      <c r="R6" s="113" t="s">
        <v>96</v>
      </c>
    </row>
    <row r="7">
      <c r="A7" s="65"/>
      <c r="B7" s="65"/>
      <c r="C7" s="65"/>
      <c r="D7" s="65"/>
      <c r="E7" s="65"/>
      <c r="F7" s="212" t="s">
        <v>112</v>
      </c>
      <c r="G7" s="213"/>
      <c r="H7" s="65"/>
      <c r="I7" s="65"/>
      <c r="J7" s="65"/>
      <c r="K7" s="65"/>
      <c r="L7" s="215"/>
      <c r="N7" s="113" t="s">
        <v>191</v>
      </c>
      <c r="O7" s="113" t="s">
        <v>16</v>
      </c>
      <c r="P7" s="113" t="s">
        <v>192</v>
      </c>
      <c r="Q7" s="113" t="s">
        <v>17</v>
      </c>
      <c r="R7" s="113" t="s">
        <v>58</v>
      </c>
    </row>
    <row r="8">
      <c r="A8" s="65"/>
      <c r="B8" s="65"/>
      <c r="C8" s="65"/>
      <c r="D8" s="65"/>
      <c r="E8" s="65"/>
      <c r="F8" s="212"/>
      <c r="G8" s="213"/>
      <c r="H8" s="65"/>
      <c r="I8" s="65"/>
      <c r="J8" s="65"/>
      <c r="K8" s="65"/>
      <c r="L8" s="215"/>
      <c r="N8" s="113" t="s">
        <v>193</v>
      </c>
      <c r="O8" s="113" t="s">
        <v>113</v>
      </c>
      <c r="P8" s="113" t="s">
        <v>194</v>
      </c>
      <c r="Q8" s="113" t="s">
        <v>17</v>
      </c>
      <c r="R8" s="113" t="s">
        <v>29</v>
      </c>
    </row>
    <row r="9">
      <c r="A9" s="73"/>
      <c r="B9" s="73"/>
      <c r="C9" s="73"/>
      <c r="D9" s="73"/>
      <c r="E9" s="73"/>
      <c r="F9" s="212"/>
      <c r="G9" s="213"/>
      <c r="H9" s="73"/>
      <c r="I9" s="73"/>
      <c r="J9" s="73"/>
      <c r="K9" s="73"/>
      <c r="L9" s="216"/>
      <c r="N9" s="113" t="s">
        <v>195</v>
      </c>
      <c r="O9" s="113" t="s">
        <v>113</v>
      </c>
      <c r="P9" s="113" t="s">
        <v>196</v>
      </c>
      <c r="Q9" s="113" t="s">
        <v>17</v>
      </c>
      <c r="R9" s="113" t="s">
        <v>92</v>
      </c>
    </row>
    <row r="10">
      <c r="A10" s="204"/>
      <c r="B10" s="205" t="s">
        <v>10</v>
      </c>
      <c r="C10" s="206" t="s">
        <v>103</v>
      </c>
      <c r="D10" s="205" t="s">
        <v>12</v>
      </c>
      <c r="E10" s="205" t="s">
        <v>104</v>
      </c>
      <c r="F10" s="205" t="s">
        <v>14</v>
      </c>
      <c r="G10" s="207"/>
      <c r="H10" s="217" t="s">
        <v>105</v>
      </c>
      <c r="I10" s="217" t="s">
        <v>106</v>
      </c>
      <c r="J10" s="217" t="s">
        <v>107</v>
      </c>
      <c r="K10" s="217" t="s">
        <v>108</v>
      </c>
      <c r="L10" s="205" t="s">
        <v>109</v>
      </c>
      <c r="N10" s="113" t="s">
        <v>197</v>
      </c>
      <c r="O10" s="113" t="s">
        <v>117</v>
      </c>
      <c r="P10" s="113" t="s">
        <v>198</v>
      </c>
      <c r="Q10" s="113" t="s">
        <v>33</v>
      </c>
      <c r="R10" s="113" t="s">
        <v>199</v>
      </c>
    </row>
    <row r="11">
      <c r="A11" s="209" t="s">
        <v>185</v>
      </c>
      <c r="B11" s="210" t="s">
        <v>200</v>
      </c>
      <c r="C11" s="210">
        <v>12.0</v>
      </c>
      <c r="D11" s="211">
        <v>46101.0</v>
      </c>
      <c r="E11" s="210" t="s">
        <v>189</v>
      </c>
      <c r="F11" s="212" t="s">
        <v>112</v>
      </c>
      <c r="G11" s="213"/>
      <c r="H11" s="209" t="s">
        <v>185</v>
      </c>
      <c r="I11" s="210" t="s">
        <v>200</v>
      </c>
      <c r="J11" s="211">
        <v>46101.0</v>
      </c>
      <c r="K11" s="214" t="s">
        <v>22</v>
      </c>
      <c r="L11" s="212" t="s">
        <v>201</v>
      </c>
      <c r="N11" s="218" t="s">
        <v>202</v>
      </c>
    </row>
    <row r="12">
      <c r="A12" s="65"/>
      <c r="B12" s="65"/>
      <c r="C12" s="65"/>
      <c r="D12" s="65"/>
      <c r="E12" s="65"/>
      <c r="F12" s="212" t="s">
        <v>203</v>
      </c>
      <c r="G12" s="213"/>
      <c r="H12" s="65"/>
      <c r="I12" s="65"/>
      <c r="J12" s="65"/>
      <c r="K12" s="65"/>
      <c r="L12" s="215"/>
      <c r="N12" s="219" t="s">
        <v>204</v>
      </c>
    </row>
    <row r="13">
      <c r="A13" s="65"/>
      <c r="B13" s="65"/>
      <c r="C13" s="65"/>
      <c r="D13" s="65"/>
      <c r="E13" s="65"/>
      <c r="F13" s="220"/>
      <c r="G13" s="213"/>
      <c r="H13" s="65"/>
      <c r="I13" s="65"/>
      <c r="J13" s="65"/>
      <c r="K13" s="65"/>
      <c r="L13" s="215"/>
    </row>
    <row r="14">
      <c r="A14" s="73"/>
      <c r="B14" s="73"/>
      <c r="C14" s="73"/>
      <c r="D14" s="73"/>
      <c r="E14" s="73"/>
      <c r="F14" s="220"/>
      <c r="G14" s="213"/>
      <c r="H14" s="73"/>
      <c r="I14" s="73"/>
      <c r="J14" s="73"/>
      <c r="K14" s="73"/>
      <c r="L14" s="216"/>
    </row>
    <row r="15">
      <c r="A15" s="204"/>
      <c r="B15" s="205" t="s">
        <v>10</v>
      </c>
      <c r="C15" s="206" t="s">
        <v>103</v>
      </c>
      <c r="D15" s="205" t="s">
        <v>12</v>
      </c>
      <c r="E15" s="205" t="s">
        <v>104</v>
      </c>
      <c r="F15" s="205" t="s">
        <v>14</v>
      </c>
      <c r="G15" s="207"/>
      <c r="H15" s="217" t="s">
        <v>105</v>
      </c>
      <c r="I15" s="217" t="s">
        <v>106</v>
      </c>
      <c r="J15" s="217" t="s">
        <v>107</v>
      </c>
      <c r="K15" s="217" t="s">
        <v>108</v>
      </c>
      <c r="L15" s="205" t="s">
        <v>109</v>
      </c>
    </row>
    <row r="16">
      <c r="A16" s="209" t="s">
        <v>185</v>
      </c>
      <c r="B16" s="210" t="s">
        <v>135</v>
      </c>
      <c r="C16" s="210">
        <v>12.0</v>
      </c>
      <c r="D16" s="211">
        <v>46101.0</v>
      </c>
      <c r="E16" s="210" t="s">
        <v>205</v>
      </c>
      <c r="F16" s="212" t="s">
        <v>112</v>
      </c>
      <c r="G16" s="213"/>
      <c r="H16" s="209" t="s">
        <v>185</v>
      </c>
      <c r="I16" s="210" t="s">
        <v>135</v>
      </c>
      <c r="J16" s="211">
        <v>46101.0</v>
      </c>
      <c r="K16" s="214" t="s">
        <v>206</v>
      </c>
      <c r="L16" s="212" t="s">
        <v>207</v>
      </c>
    </row>
    <row r="17">
      <c r="A17" s="65"/>
      <c r="B17" s="65"/>
      <c r="C17" s="65"/>
      <c r="D17" s="65"/>
      <c r="E17" s="65"/>
      <c r="F17" s="212" t="s">
        <v>203</v>
      </c>
      <c r="G17" s="213"/>
      <c r="H17" s="65"/>
      <c r="I17" s="65"/>
      <c r="J17" s="65"/>
      <c r="K17" s="65"/>
      <c r="L17" s="215"/>
    </row>
    <row r="18">
      <c r="A18" s="65"/>
      <c r="B18" s="65"/>
      <c r="C18" s="65"/>
      <c r="D18" s="65"/>
      <c r="E18" s="65"/>
      <c r="F18" s="212"/>
      <c r="G18" s="213"/>
      <c r="H18" s="65"/>
      <c r="I18" s="65"/>
      <c r="J18" s="65"/>
      <c r="K18" s="65"/>
      <c r="L18" s="215"/>
    </row>
    <row r="19">
      <c r="A19" s="73"/>
      <c r="B19" s="73"/>
      <c r="C19" s="73"/>
      <c r="D19" s="73"/>
      <c r="E19" s="73"/>
      <c r="F19" s="212"/>
      <c r="G19" s="213"/>
      <c r="H19" s="73"/>
      <c r="I19" s="73"/>
      <c r="J19" s="73"/>
      <c r="K19" s="73"/>
      <c r="L19" s="216"/>
    </row>
    <row r="20">
      <c r="A20" s="220"/>
      <c r="B20" s="220"/>
      <c r="C20" s="220"/>
      <c r="D20" s="220"/>
      <c r="E20" s="220"/>
      <c r="F20" s="220"/>
      <c r="G20" s="220"/>
      <c r="H20" s="221" t="s">
        <v>208</v>
      </c>
    </row>
  </sheetData>
  <mergeCells count="31">
    <mergeCell ref="I6:I9"/>
    <mergeCell ref="J6:J9"/>
    <mergeCell ref="A3:L3"/>
    <mergeCell ref="B4:F4"/>
    <mergeCell ref="H4:L4"/>
    <mergeCell ref="A6:A9"/>
    <mergeCell ref="B6:B9"/>
    <mergeCell ref="C6:C9"/>
    <mergeCell ref="D6:D9"/>
    <mergeCell ref="K6:K9"/>
    <mergeCell ref="H11:H14"/>
    <mergeCell ref="I11:I14"/>
    <mergeCell ref="J11:J14"/>
    <mergeCell ref="K11:K14"/>
    <mergeCell ref="E6:E9"/>
    <mergeCell ref="H6:H9"/>
    <mergeCell ref="A11:A14"/>
    <mergeCell ref="B11:B14"/>
    <mergeCell ref="C11:C14"/>
    <mergeCell ref="D11:D14"/>
    <mergeCell ref="E11:E14"/>
    <mergeCell ref="J16:J19"/>
    <mergeCell ref="K16:K19"/>
    <mergeCell ref="H20:L20"/>
    <mergeCell ref="A16:A19"/>
    <mergeCell ref="B16:B19"/>
    <mergeCell ref="C16:C19"/>
    <mergeCell ref="D16:D19"/>
    <mergeCell ref="E16:E19"/>
    <mergeCell ref="H16:H19"/>
    <mergeCell ref="I16:I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22" t="s">
        <v>209</v>
      </c>
    </row>
    <row r="2">
      <c r="A2" s="223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2"/>
    </row>
    <row r="3">
      <c r="A3" s="103"/>
      <c r="B3" s="224" t="s">
        <v>2</v>
      </c>
      <c r="C3" s="105"/>
      <c r="D3" s="105"/>
      <c r="E3" s="105"/>
      <c r="F3" s="106"/>
      <c r="G3" s="107"/>
      <c r="H3" s="224" t="s">
        <v>3</v>
      </c>
      <c r="I3" s="105"/>
      <c r="J3" s="105"/>
      <c r="K3" s="105"/>
      <c r="L3" s="106"/>
    </row>
    <row r="4">
      <c r="A4" s="225"/>
      <c r="B4" s="226" t="s">
        <v>10</v>
      </c>
      <c r="C4" s="227" t="s">
        <v>103</v>
      </c>
      <c r="D4" s="226" t="s">
        <v>12</v>
      </c>
      <c r="E4" s="226" t="s">
        <v>104</v>
      </c>
      <c r="F4" s="226" t="s">
        <v>14</v>
      </c>
      <c r="G4" s="112"/>
      <c r="H4" s="228" t="s">
        <v>105</v>
      </c>
      <c r="I4" s="228" t="s">
        <v>106</v>
      </c>
      <c r="J4" s="228" t="s">
        <v>107</v>
      </c>
      <c r="K4" s="228" t="s">
        <v>108</v>
      </c>
      <c r="L4" s="226" t="s">
        <v>109</v>
      </c>
    </row>
    <row r="5">
      <c r="A5" s="114" t="s">
        <v>210</v>
      </c>
      <c r="B5" s="115" t="s">
        <v>98</v>
      </c>
      <c r="C5" s="115">
        <v>49.0</v>
      </c>
      <c r="D5" s="186">
        <v>46130.0</v>
      </c>
      <c r="E5" s="115" t="s">
        <v>211</v>
      </c>
      <c r="F5" s="130" t="s">
        <v>212</v>
      </c>
      <c r="G5" s="119"/>
      <c r="H5" s="115" t="s">
        <v>98</v>
      </c>
      <c r="I5" s="115">
        <v>17.0</v>
      </c>
      <c r="J5" s="229">
        <v>46130.0</v>
      </c>
      <c r="K5" s="115" t="s">
        <v>136</v>
      </c>
      <c r="L5" s="130" t="s">
        <v>212</v>
      </c>
    </row>
    <row r="6">
      <c r="A6" s="65"/>
      <c r="B6" s="65"/>
      <c r="C6" s="65"/>
      <c r="D6" s="65"/>
      <c r="E6" s="65"/>
      <c r="F6" s="130" t="s">
        <v>188</v>
      </c>
      <c r="G6" s="119"/>
      <c r="H6" s="65"/>
      <c r="I6" s="230">
        <v>16.0</v>
      </c>
      <c r="J6" s="65"/>
      <c r="K6" s="115" t="s">
        <v>136</v>
      </c>
      <c r="L6" s="130" t="s">
        <v>188</v>
      </c>
    </row>
    <row r="7">
      <c r="A7" s="65"/>
      <c r="B7" s="65"/>
      <c r="C7" s="65"/>
      <c r="D7" s="65"/>
      <c r="E7" s="65"/>
      <c r="F7" s="130" t="s">
        <v>213</v>
      </c>
      <c r="G7" s="119"/>
      <c r="H7" s="65"/>
      <c r="I7" s="230">
        <v>14.0</v>
      </c>
      <c r="J7" s="65"/>
      <c r="K7" s="115" t="s">
        <v>136</v>
      </c>
      <c r="L7" s="130" t="s">
        <v>213</v>
      </c>
    </row>
    <row r="8">
      <c r="A8" s="73"/>
      <c r="B8" s="73"/>
      <c r="C8" s="73"/>
      <c r="D8" s="73"/>
      <c r="E8" s="73"/>
      <c r="F8" s="231"/>
      <c r="G8" s="119"/>
      <c r="H8" s="232" t="s">
        <v>77</v>
      </c>
      <c r="I8" s="232">
        <f>SUM(I5:I7)</f>
        <v>47</v>
      </c>
      <c r="J8" s="73"/>
      <c r="K8" s="233"/>
      <c r="L8" s="129"/>
    </row>
    <row r="11">
      <c r="A11" s="103"/>
      <c r="B11" s="224" t="s">
        <v>2</v>
      </c>
      <c r="C11" s="105"/>
      <c r="D11" s="105"/>
      <c r="E11" s="105"/>
      <c r="F11" s="106"/>
      <c r="G11" s="107"/>
      <c r="H11" s="224" t="s">
        <v>3</v>
      </c>
      <c r="I11" s="105"/>
      <c r="J11" s="105"/>
      <c r="K11" s="105"/>
      <c r="L11" s="106"/>
    </row>
    <row r="12">
      <c r="A12" s="225"/>
      <c r="B12" s="226" t="s">
        <v>10</v>
      </c>
      <c r="C12" s="227" t="s">
        <v>103</v>
      </c>
      <c r="D12" s="226" t="s">
        <v>12</v>
      </c>
      <c r="E12" s="226" t="s">
        <v>104</v>
      </c>
      <c r="F12" s="226" t="s">
        <v>14</v>
      </c>
      <c r="G12" s="112"/>
      <c r="H12" s="228" t="s">
        <v>105</v>
      </c>
      <c r="I12" s="228" t="s">
        <v>106</v>
      </c>
      <c r="J12" s="228" t="s">
        <v>107</v>
      </c>
      <c r="K12" s="228" t="s">
        <v>108</v>
      </c>
      <c r="L12" s="226" t="s">
        <v>109</v>
      </c>
    </row>
    <row r="13">
      <c r="A13" s="114" t="s">
        <v>210</v>
      </c>
      <c r="B13" s="115" t="s">
        <v>128</v>
      </c>
      <c r="C13" s="115">
        <v>14.0</v>
      </c>
      <c r="D13" s="186">
        <v>46137.0</v>
      </c>
      <c r="E13" s="115" t="s">
        <v>214</v>
      </c>
      <c r="F13" s="130" t="s">
        <v>212</v>
      </c>
      <c r="G13" s="119"/>
      <c r="H13" s="115" t="s">
        <v>128</v>
      </c>
      <c r="I13" s="115">
        <v>14.0</v>
      </c>
      <c r="J13" s="186">
        <v>46137.0</v>
      </c>
      <c r="K13" s="115" t="s">
        <v>215</v>
      </c>
      <c r="L13" s="234" t="s">
        <v>188</v>
      </c>
    </row>
    <row r="14">
      <c r="A14" s="65"/>
      <c r="B14" s="65"/>
      <c r="C14" s="65"/>
      <c r="D14" s="65"/>
      <c r="E14" s="65"/>
      <c r="F14" s="130" t="s">
        <v>188</v>
      </c>
      <c r="G14" s="119"/>
      <c r="H14" s="65"/>
      <c r="I14" s="65"/>
      <c r="J14" s="65"/>
      <c r="K14" s="65"/>
      <c r="L14" s="65"/>
    </row>
    <row r="15">
      <c r="A15" s="65"/>
      <c r="B15" s="65"/>
      <c r="C15" s="65"/>
      <c r="D15" s="65"/>
      <c r="E15" s="65"/>
      <c r="F15" s="231"/>
      <c r="G15" s="119"/>
      <c r="H15" s="65"/>
      <c r="I15" s="65"/>
      <c r="J15" s="65"/>
      <c r="K15" s="65"/>
      <c r="L15" s="73"/>
    </row>
    <row r="16">
      <c r="A16" s="73"/>
      <c r="B16" s="73"/>
      <c r="C16" s="73"/>
      <c r="D16" s="73"/>
      <c r="E16" s="73"/>
      <c r="F16" s="231"/>
      <c r="G16" s="119"/>
      <c r="H16" s="232" t="s">
        <v>77</v>
      </c>
      <c r="I16" s="73"/>
      <c r="J16" s="73"/>
      <c r="K16" s="73"/>
      <c r="L16" s="129"/>
    </row>
    <row r="19">
      <c r="A19" s="103"/>
      <c r="B19" s="224" t="s">
        <v>2</v>
      </c>
      <c r="C19" s="105"/>
      <c r="D19" s="105"/>
      <c r="E19" s="105"/>
      <c r="F19" s="106"/>
      <c r="G19" s="107"/>
      <c r="H19" s="224" t="s">
        <v>3</v>
      </c>
      <c r="I19" s="105"/>
      <c r="J19" s="105"/>
      <c r="K19" s="105"/>
      <c r="L19" s="106"/>
    </row>
    <row r="20">
      <c r="A20" s="225"/>
      <c r="B20" s="226" t="s">
        <v>10</v>
      </c>
      <c r="C20" s="227" t="s">
        <v>103</v>
      </c>
      <c r="D20" s="226" t="s">
        <v>12</v>
      </c>
      <c r="E20" s="226" t="s">
        <v>104</v>
      </c>
      <c r="F20" s="226" t="s">
        <v>14</v>
      </c>
      <c r="G20" s="112"/>
      <c r="H20" s="228" t="s">
        <v>105</v>
      </c>
      <c r="I20" s="228" t="s">
        <v>106</v>
      </c>
      <c r="J20" s="228" t="s">
        <v>107</v>
      </c>
      <c r="K20" s="228" t="s">
        <v>108</v>
      </c>
      <c r="L20" s="226" t="s">
        <v>109</v>
      </c>
    </row>
    <row r="21">
      <c r="A21" s="114" t="s">
        <v>210</v>
      </c>
      <c r="B21" s="115" t="s">
        <v>135</v>
      </c>
      <c r="C21" s="115">
        <v>5.0</v>
      </c>
      <c r="D21" s="186">
        <v>46137.0</v>
      </c>
      <c r="E21" s="115" t="s">
        <v>216</v>
      </c>
      <c r="F21" s="130" t="s">
        <v>212</v>
      </c>
      <c r="G21" s="119"/>
      <c r="H21" s="115" t="s">
        <v>128</v>
      </c>
      <c r="I21" s="115">
        <v>5.0</v>
      </c>
      <c r="J21" s="186">
        <v>46137.0</v>
      </c>
      <c r="K21" s="115" t="s">
        <v>206</v>
      </c>
      <c r="L21" s="234" t="s">
        <v>212</v>
      </c>
    </row>
    <row r="22">
      <c r="A22" s="65"/>
      <c r="B22" s="65"/>
      <c r="C22" s="65"/>
      <c r="D22" s="65"/>
      <c r="E22" s="65"/>
      <c r="F22" s="130" t="s">
        <v>188</v>
      </c>
      <c r="G22" s="119"/>
      <c r="H22" s="65"/>
      <c r="I22" s="65"/>
      <c r="J22" s="65"/>
      <c r="K22" s="65"/>
      <c r="L22" s="65"/>
    </row>
    <row r="23">
      <c r="A23" s="65"/>
      <c r="B23" s="65"/>
      <c r="C23" s="65"/>
      <c r="D23" s="65"/>
      <c r="E23" s="65"/>
      <c r="F23" s="231"/>
      <c r="G23" s="119"/>
      <c r="H23" s="65"/>
      <c r="I23" s="65"/>
      <c r="J23" s="65"/>
      <c r="K23" s="65"/>
      <c r="L23" s="73"/>
    </row>
    <row r="24">
      <c r="A24" s="73"/>
      <c r="B24" s="73"/>
      <c r="C24" s="73"/>
      <c r="D24" s="73"/>
      <c r="E24" s="73"/>
      <c r="F24" s="231"/>
      <c r="G24" s="119"/>
      <c r="H24" s="232" t="s">
        <v>77</v>
      </c>
      <c r="I24" s="73"/>
      <c r="J24" s="73"/>
      <c r="K24" s="73"/>
      <c r="L24" s="129"/>
    </row>
    <row r="25">
      <c r="K25" s="139" t="s">
        <v>217</v>
      </c>
    </row>
    <row r="27">
      <c r="D27" s="27"/>
    </row>
    <row r="28">
      <c r="D28" s="27"/>
      <c r="I28" s="27"/>
    </row>
    <row r="29">
      <c r="D29" s="27"/>
      <c r="I29" s="27"/>
    </row>
  </sheetData>
  <mergeCells count="36">
    <mergeCell ref="A1:L1"/>
    <mergeCell ref="A2:L2"/>
    <mergeCell ref="B3:F3"/>
    <mergeCell ref="H3:L3"/>
    <mergeCell ref="A5:A8"/>
    <mergeCell ref="B5:B8"/>
    <mergeCell ref="C5:C8"/>
    <mergeCell ref="E13:E16"/>
    <mergeCell ref="B19:F19"/>
    <mergeCell ref="A21:A24"/>
    <mergeCell ref="B21:B24"/>
    <mergeCell ref="C21:C24"/>
    <mergeCell ref="D21:D24"/>
    <mergeCell ref="E21:E24"/>
    <mergeCell ref="D5:D8"/>
    <mergeCell ref="E5:E8"/>
    <mergeCell ref="B11:F11"/>
    <mergeCell ref="A13:A16"/>
    <mergeCell ref="B13:B16"/>
    <mergeCell ref="C13:C16"/>
    <mergeCell ref="D13:D16"/>
    <mergeCell ref="K13:K16"/>
    <mergeCell ref="H19:L19"/>
    <mergeCell ref="H21:H23"/>
    <mergeCell ref="I21:I24"/>
    <mergeCell ref="J21:J24"/>
    <mergeCell ref="K21:K24"/>
    <mergeCell ref="L21:L23"/>
    <mergeCell ref="K25:L25"/>
    <mergeCell ref="H5:H7"/>
    <mergeCell ref="J5:J8"/>
    <mergeCell ref="H11:L11"/>
    <mergeCell ref="H13:H15"/>
    <mergeCell ref="I13:I16"/>
    <mergeCell ref="J13:J16"/>
    <mergeCell ref="L13:L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35" t="s">
        <v>218</v>
      </c>
    </row>
    <row r="2">
      <c r="A2" s="223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2"/>
    </row>
    <row r="3">
      <c r="A3" s="103"/>
      <c r="B3" s="236" t="s">
        <v>2</v>
      </c>
      <c r="C3" s="105"/>
      <c r="D3" s="105"/>
      <c r="E3" s="105"/>
      <c r="F3" s="106"/>
      <c r="G3" s="107"/>
      <c r="H3" s="236" t="s">
        <v>3</v>
      </c>
      <c r="I3" s="105"/>
      <c r="J3" s="105"/>
      <c r="K3" s="105"/>
      <c r="L3" s="106"/>
    </row>
    <row r="4">
      <c r="A4" s="237"/>
      <c r="B4" s="238" t="s">
        <v>10</v>
      </c>
      <c r="C4" s="239" t="s">
        <v>103</v>
      </c>
      <c r="D4" s="238" t="s">
        <v>12</v>
      </c>
      <c r="E4" s="238" t="s">
        <v>104</v>
      </c>
      <c r="F4" s="238" t="s">
        <v>14</v>
      </c>
      <c r="G4" s="112"/>
      <c r="H4" s="240" t="s">
        <v>105</v>
      </c>
      <c r="I4" s="240" t="s">
        <v>106</v>
      </c>
      <c r="J4" s="240" t="s">
        <v>107</v>
      </c>
      <c r="K4" s="240" t="s">
        <v>108</v>
      </c>
      <c r="L4" s="240" t="s">
        <v>109</v>
      </c>
    </row>
    <row r="5">
      <c r="A5" s="114" t="s">
        <v>178</v>
      </c>
      <c r="B5" s="115" t="s">
        <v>168</v>
      </c>
      <c r="C5" s="115">
        <v>5.0</v>
      </c>
      <c r="D5" s="186">
        <v>46136.0</v>
      </c>
      <c r="E5" s="115" t="s">
        <v>219</v>
      </c>
      <c r="F5" s="130" t="s">
        <v>115</v>
      </c>
      <c r="G5" s="119"/>
      <c r="H5" s="115" t="s">
        <v>168</v>
      </c>
      <c r="I5" s="115">
        <v>5.0</v>
      </c>
      <c r="J5" s="186">
        <v>46136.0</v>
      </c>
      <c r="K5" s="115" t="s">
        <v>22</v>
      </c>
      <c r="L5" s="130" t="s">
        <v>115</v>
      </c>
      <c r="M5" s="27"/>
    </row>
    <row r="6">
      <c r="A6" s="73"/>
      <c r="B6" s="73"/>
      <c r="C6" s="73"/>
      <c r="D6" s="73"/>
      <c r="E6" s="73"/>
      <c r="F6" s="130" t="s">
        <v>165</v>
      </c>
      <c r="G6" s="119"/>
      <c r="H6" s="73"/>
      <c r="I6" s="73"/>
      <c r="J6" s="73"/>
      <c r="K6" s="73"/>
      <c r="L6" s="231"/>
    </row>
    <row r="7">
      <c r="E7" s="27">
        <v>0.5</v>
      </c>
    </row>
    <row r="8">
      <c r="A8" s="103"/>
      <c r="B8" s="236" t="s">
        <v>2</v>
      </c>
      <c r="C8" s="105"/>
      <c r="D8" s="105"/>
      <c r="E8" s="105"/>
      <c r="F8" s="106"/>
      <c r="G8" s="107"/>
      <c r="H8" s="236" t="s">
        <v>3</v>
      </c>
      <c r="I8" s="105"/>
      <c r="J8" s="105"/>
      <c r="K8" s="105"/>
      <c r="L8" s="106"/>
    </row>
    <row r="9">
      <c r="A9" s="237"/>
      <c r="B9" s="238" t="s">
        <v>10</v>
      </c>
      <c r="C9" s="239" t="s">
        <v>103</v>
      </c>
      <c r="D9" s="238" t="s">
        <v>12</v>
      </c>
      <c r="E9" s="238" t="s">
        <v>104</v>
      </c>
      <c r="F9" s="238" t="s">
        <v>14</v>
      </c>
      <c r="G9" s="112"/>
      <c r="H9" s="240" t="s">
        <v>105</v>
      </c>
      <c r="I9" s="240" t="s">
        <v>106</v>
      </c>
      <c r="J9" s="240" t="s">
        <v>107</v>
      </c>
      <c r="K9" s="240" t="s">
        <v>108</v>
      </c>
      <c r="L9" s="240" t="s">
        <v>109</v>
      </c>
    </row>
    <row r="10">
      <c r="A10" s="114" t="s">
        <v>178</v>
      </c>
      <c r="B10" s="115" t="s">
        <v>162</v>
      </c>
      <c r="C10" s="115">
        <v>6.0</v>
      </c>
      <c r="D10" s="186">
        <v>46136.0</v>
      </c>
      <c r="E10" s="115" t="s">
        <v>220</v>
      </c>
      <c r="F10" s="130" t="s">
        <v>115</v>
      </c>
      <c r="G10" s="119"/>
      <c r="H10" s="115" t="s">
        <v>162</v>
      </c>
      <c r="I10" s="115">
        <v>6.0</v>
      </c>
      <c r="J10" s="186">
        <v>46136.0</v>
      </c>
      <c r="K10" s="115" t="s">
        <v>25</v>
      </c>
      <c r="L10" s="130" t="s">
        <v>165</v>
      </c>
    </row>
    <row r="11">
      <c r="A11" s="73"/>
      <c r="B11" s="73"/>
      <c r="C11" s="73"/>
      <c r="D11" s="73"/>
      <c r="E11" s="73"/>
      <c r="F11" s="130" t="s">
        <v>165</v>
      </c>
      <c r="G11" s="119"/>
      <c r="H11" s="73"/>
      <c r="I11" s="73"/>
      <c r="J11" s="73"/>
      <c r="K11" s="73"/>
      <c r="L11" s="231"/>
    </row>
    <row r="12">
      <c r="A12" s="241" t="s">
        <v>221</v>
      </c>
    </row>
    <row r="13">
      <c r="E13" s="27">
        <v>1.5</v>
      </c>
    </row>
    <row r="14">
      <c r="A14" s="103"/>
      <c r="B14" s="242" t="s">
        <v>2</v>
      </c>
      <c r="C14" s="105"/>
      <c r="D14" s="105"/>
      <c r="E14" s="105"/>
      <c r="F14" s="106"/>
      <c r="G14" s="107"/>
      <c r="H14" s="242" t="s">
        <v>3</v>
      </c>
      <c r="I14" s="105"/>
      <c r="J14" s="105"/>
      <c r="K14" s="105"/>
      <c r="L14" s="106"/>
    </row>
    <row r="15">
      <c r="A15" s="181"/>
      <c r="B15" s="182" t="s">
        <v>10</v>
      </c>
      <c r="C15" s="183" t="s">
        <v>103</v>
      </c>
      <c r="D15" s="182" t="s">
        <v>12</v>
      </c>
      <c r="E15" s="182" t="s">
        <v>104</v>
      </c>
      <c r="F15" s="182" t="s">
        <v>14</v>
      </c>
      <c r="G15" s="112"/>
      <c r="H15" s="243" t="s">
        <v>105</v>
      </c>
      <c r="I15" s="243" t="s">
        <v>106</v>
      </c>
      <c r="J15" s="243" t="s">
        <v>107</v>
      </c>
      <c r="K15" s="243" t="s">
        <v>108</v>
      </c>
      <c r="L15" s="182" t="s">
        <v>109</v>
      </c>
    </row>
    <row r="16">
      <c r="A16" s="114" t="s">
        <v>178</v>
      </c>
      <c r="B16" s="115" t="s">
        <v>85</v>
      </c>
      <c r="C16" s="115">
        <v>8.0</v>
      </c>
      <c r="D16" s="186">
        <v>46137.0</v>
      </c>
      <c r="E16" s="115" t="s">
        <v>222</v>
      </c>
      <c r="F16" s="118" t="s">
        <v>115</v>
      </c>
      <c r="G16" s="119"/>
      <c r="H16" s="115" t="s">
        <v>85</v>
      </c>
      <c r="I16" s="115">
        <v>8.0</v>
      </c>
      <c r="J16" s="186">
        <v>46137.0</v>
      </c>
      <c r="K16" s="115" t="s">
        <v>89</v>
      </c>
      <c r="L16" s="118" t="s">
        <v>223</v>
      </c>
    </row>
    <row r="17">
      <c r="A17" s="65"/>
      <c r="B17" s="65"/>
      <c r="C17" s="65"/>
      <c r="D17" s="65"/>
      <c r="E17" s="65"/>
      <c r="F17" s="118" t="s">
        <v>112</v>
      </c>
      <c r="G17" s="119"/>
      <c r="H17" s="244"/>
      <c r="I17" s="65"/>
      <c r="J17" s="65"/>
      <c r="K17" s="65"/>
      <c r="L17" s="129"/>
    </row>
    <row r="18">
      <c r="A18" s="65"/>
      <c r="B18" s="65"/>
      <c r="C18" s="65"/>
      <c r="D18" s="65"/>
      <c r="E18" s="65"/>
      <c r="F18" s="231"/>
      <c r="G18" s="119"/>
      <c r="H18" s="244"/>
      <c r="I18" s="65"/>
      <c r="J18" s="65"/>
      <c r="K18" s="65"/>
      <c r="L18" s="129"/>
    </row>
    <row r="19">
      <c r="A19" s="73"/>
      <c r="B19" s="73"/>
      <c r="C19" s="73"/>
      <c r="D19" s="73"/>
      <c r="E19" s="73"/>
      <c r="F19" s="231"/>
      <c r="G19" s="119"/>
      <c r="H19" s="232" t="s">
        <v>77</v>
      </c>
      <c r="I19" s="73"/>
      <c r="J19" s="73"/>
      <c r="K19" s="73"/>
      <c r="L19" s="129"/>
    </row>
    <row r="20">
      <c r="E20" s="27">
        <v>0.5</v>
      </c>
      <c r="K20" s="27"/>
    </row>
    <row r="22">
      <c r="A22" s="103"/>
      <c r="B22" s="242" t="s">
        <v>2</v>
      </c>
      <c r="C22" s="105"/>
      <c r="D22" s="105"/>
      <c r="E22" s="105"/>
      <c r="F22" s="106"/>
      <c r="G22" s="107"/>
      <c r="H22" s="242" t="s">
        <v>3</v>
      </c>
      <c r="I22" s="105"/>
      <c r="J22" s="105"/>
      <c r="K22" s="105"/>
      <c r="L22" s="106"/>
    </row>
    <row r="23">
      <c r="A23" s="181"/>
      <c r="B23" s="182" t="s">
        <v>10</v>
      </c>
      <c r="C23" s="183" t="s">
        <v>103</v>
      </c>
      <c r="D23" s="182" t="s">
        <v>12</v>
      </c>
      <c r="E23" s="182" t="s">
        <v>104</v>
      </c>
      <c r="F23" s="182" t="s">
        <v>14</v>
      </c>
      <c r="G23" s="112"/>
      <c r="H23" s="243" t="s">
        <v>105</v>
      </c>
      <c r="I23" s="243" t="s">
        <v>106</v>
      </c>
      <c r="J23" s="243" t="s">
        <v>107</v>
      </c>
      <c r="K23" s="243" t="s">
        <v>108</v>
      </c>
      <c r="L23" s="243" t="s">
        <v>109</v>
      </c>
    </row>
    <row r="24">
      <c r="A24" s="114" t="s">
        <v>178</v>
      </c>
      <c r="B24" s="115" t="s">
        <v>93</v>
      </c>
      <c r="C24" s="115">
        <v>24.0</v>
      </c>
      <c r="D24" s="186">
        <v>46137.0</v>
      </c>
      <c r="E24" s="115" t="s">
        <v>94</v>
      </c>
      <c r="F24" s="118" t="s">
        <v>115</v>
      </c>
      <c r="G24" s="119"/>
      <c r="H24" s="115" t="s">
        <v>93</v>
      </c>
      <c r="I24" s="115">
        <v>14.0</v>
      </c>
      <c r="J24" s="186">
        <v>46137.0</v>
      </c>
      <c r="K24" s="115" t="s">
        <v>87</v>
      </c>
      <c r="L24" s="245" t="s">
        <v>177</v>
      </c>
    </row>
    <row r="25">
      <c r="A25" s="65"/>
      <c r="B25" s="65"/>
      <c r="C25" s="65"/>
      <c r="D25" s="65"/>
      <c r="E25" s="65"/>
      <c r="F25" s="118" t="s">
        <v>112</v>
      </c>
      <c r="G25" s="119"/>
      <c r="H25" s="65"/>
      <c r="I25" s="244">
        <v>10.0</v>
      </c>
      <c r="J25" s="65"/>
      <c r="K25" s="65"/>
      <c r="L25" s="73"/>
    </row>
    <row r="26">
      <c r="A26" s="73"/>
      <c r="B26" s="73"/>
      <c r="C26" s="73"/>
      <c r="D26" s="73"/>
      <c r="E26" s="73"/>
      <c r="F26" s="231"/>
      <c r="G26" s="119"/>
      <c r="H26" s="73"/>
      <c r="I26" s="246"/>
      <c r="J26" s="73"/>
      <c r="K26" s="73"/>
      <c r="L26" s="129"/>
    </row>
    <row r="27">
      <c r="E27" s="27">
        <v>1.5</v>
      </c>
      <c r="K27" s="27"/>
    </row>
    <row r="29">
      <c r="A29" s="103"/>
      <c r="B29" s="242" t="s">
        <v>2</v>
      </c>
      <c r="C29" s="105"/>
      <c r="D29" s="105"/>
      <c r="E29" s="105"/>
      <c r="F29" s="106"/>
      <c r="G29" s="107"/>
      <c r="H29" s="242" t="s">
        <v>3</v>
      </c>
      <c r="I29" s="105"/>
      <c r="J29" s="105"/>
      <c r="K29" s="105"/>
      <c r="L29" s="106"/>
    </row>
    <row r="30">
      <c r="A30" s="181"/>
      <c r="B30" s="182" t="s">
        <v>10</v>
      </c>
      <c r="C30" s="183" t="s">
        <v>103</v>
      </c>
      <c r="D30" s="182" t="s">
        <v>12</v>
      </c>
      <c r="E30" s="182" t="s">
        <v>104</v>
      </c>
      <c r="F30" s="182" t="s">
        <v>14</v>
      </c>
      <c r="G30" s="247"/>
      <c r="H30" s="243" t="s">
        <v>105</v>
      </c>
      <c r="I30" s="243" t="s">
        <v>106</v>
      </c>
      <c r="J30" s="243" t="s">
        <v>107</v>
      </c>
      <c r="K30" s="243" t="s">
        <v>108</v>
      </c>
      <c r="L30" s="243" t="s">
        <v>109</v>
      </c>
    </row>
    <row r="31">
      <c r="A31" s="114" t="s">
        <v>178</v>
      </c>
      <c r="B31" s="115" t="s">
        <v>98</v>
      </c>
      <c r="C31" s="115">
        <v>19.0</v>
      </c>
      <c r="D31" s="186">
        <v>46137.0</v>
      </c>
      <c r="E31" s="115" t="s">
        <v>224</v>
      </c>
      <c r="F31" s="118" t="s">
        <v>115</v>
      </c>
      <c r="G31" s="248"/>
      <c r="H31" s="115" t="s">
        <v>98</v>
      </c>
      <c r="I31" s="233">
        <v>10.0</v>
      </c>
      <c r="J31" s="186">
        <v>46137.0</v>
      </c>
      <c r="K31" s="115" t="s">
        <v>94</v>
      </c>
      <c r="L31" s="245" t="s">
        <v>223</v>
      </c>
    </row>
    <row r="32">
      <c r="A32" s="65"/>
      <c r="B32" s="65"/>
      <c r="C32" s="65"/>
      <c r="D32" s="65"/>
      <c r="E32" s="65"/>
      <c r="F32" s="118" t="s">
        <v>112</v>
      </c>
      <c r="G32" s="248"/>
      <c r="H32" s="65"/>
      <c r="I32" s="249">
        <v>9.0</v>
      </c>
      <c r="J32" s="65"/>
      <c r="K32" s="65"/>
      <c r="L32" s="250" t="s">
        <v>177</v>
      </c>
    </row>
    <row r="33">
      <c r="A33" s="73"/>
      <c r="B33" s="73"/>
      <c r="C33" s="73"/>
      <c r="D33" s="73"/>
      <c r="E33" s="73"/>
      <c r="F33" s="231"/>
      <c r="G33" s="251"/>
      <c r="H33" s="73"/>
      <c r="I33" s="53"/>
      <c r="J33" s="73"/>
      <c r="K33" s="73"/>
      <c r="L33" s="73"/>
    </row>
    <row r="34">
      <c r="A34" s="252" t="s">
        <v>225</v>
      </c>
    </row>
    <row r="35">
      <c r="E35" s="27">
        <v>2.0</v>
      </c>
      <c r="K35" s="27"/>
    </row>
  </sheetData>
  <mergeCells count="58">
    <mergeCell ref="K24:K26"/>
    <mergeCell ref="L24:L25"/>
    <mergeCell ref="A24:A26"/>
    <mergeCell ref="B24:B26"/>
    <mergeCell ref="C24:C26"/>
    <mergeCell ref="D24:D26"/>
    <mergeCell ref="E24:E26"/>
    <mergeCell ref="H24:H26"/>
    <mergeCell ref="J24:J26"/>
    <mergeCell ref="H31:H33"/>
    <mergeCell ref="J31:J33"/>
    <mergeCell ref="K31:K33"/>
    <mergeCell ref="L32:L33"/>
    <mergeCell ref="B29:F29"/>
    <mergeCell ref="H29:L29"/>
    <mergeCell ref="A31:A33"/>
    <mergeCell ref="B31:B33"/>
    <mergeCell ref="C31:C33"/>
    <mergeCell ref="D31:D33"/>
    <mergeCell ref="E31:E33"/>
    <mergeCell ref="A34:L34"/>
    <mergeCell ref="J5:J6"/>
    <mergeCell ref="K5:K6"/>
    <mergeCell ref="H8:L8"/>
    <mergeCell ref="A1:L1"/>
    <mergeCell ref="A2:L2"/>
    <mergeCell ref="B3:F3"/>
    <mergeCell ref="H3:L3"/>
    <mergeCell ref="A5:A6"/>
    <mergeCell ref="B5:B6"/>
    <mergeCell ref="C5:C6"/>
    <mergeCell ref="E10:E11"/>
    <mergeCell ref="A12:L12"/>
    <mergeCell ref="D5:D6"/>
    <mergeCell ref="E5:E6"/>
    <mergeCell ref="B8:F8"/>
    <mergeCell ref="B10:B11"/>
    <mergeCell ref="C10:C11"/>
    <mergeCell ref="D10:D11"/>
    <mergeCell ref="B14:F14"/>
    <mergeCell ref="I16:I19"/>
    <mergeCell ref="J16:J19"/>
    <mergeCell ref="K16:K19"/>
    <mergeCell ref="H22:L22"/>
    <mergeCell ref="H5:H6"/>
    <mergeCell ref="I5:I6"/>
    <mergeCell ref="H10:H11"/>
    <mergeCell ref="I10:I11"/>
    <mergeCell ref="J10:J11"/>
    <mergeCell ref="K10:K11"/>
    <mergeCell ref="H14:L14"/>
    <mergeCell ref="A10:A11"/>
    <mergeCell ref="A16:A19"/>
    <mergeCell ref="B16:B19"/>
    <mergeCell ref="C16:C19"/>
    <mergeCell ref="D16:D19"/>
    <mergeCell ref="E16:E19"/>
    <mergeCell ref="B22:F2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14.5"/>
  </cols>
  <sheetData>
    <row r="1">
      <c r="A1" s="235" t="s">
        <v>226</v>
      </c>
    </row>
    <row r="2">
      <c r="A2" s="223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2"/>
    </row>
    <row r="3">
      <c r="A3" s="103"/>
      <c r="B3" s="253" t="s">
        <v>2</v>
      </c>
      <c r="C3" s="105"/>
      <c r="D3" s="105"/>
      <c r="E3" s="105"/>
      <c r="F3" s="106"/>
      <c r="G3" s="107"/>
      <c r="H3" s="253" t="s">
        <v>3</v>
      </c>
      <c r="I3" s="105"/>
      <c r="J3" s="105"/>
      <c r="K3" s="105"/>
      <c r="L3" s="106"/>
    </row>
    <row r="4">
      <c r="A4" s="254"/>
      <c r="B4" s="255" t="s">
        <v>10</v>
      </c>
      <c r="C4" s="256" t="s">
        <v>103</v>
      </c>
      <c r="D4" s="255" t="s">
        <v>12</v>
      </c>
      <c r="E4" s="255" t="s">
        <v>104</v>
      </c>
      <c r="F4" s="255" t="s">
        <v>14</v>
      </c>
      <c r="G4" s="112"/>
      <c r="H4" s="257" t="s">
        <v>105</v>
      </c>
      <c r="I4" s="257" t="s">
        <v>106</v>
      </c>
      <c r="J4" s="257" t="s">
        <v>107</v>
      </c>
      <c r="K4" s="257" t="s">
        <v>108</v>
      </c>
      <c r="L4" s="255" t="s">
        <v>109</v>
      </c>
    </row>
    <row r="5" ht="26.25" customHeight="1">
      <c r="A5" s="114" t="s">
        <v>226</v>
      </c>
      <c r="B5" s="258" t="s">
        <v>93</v>
      </c>
      <c r="C5" s="115">
        <v>27.0</v>
      </c>
      <c r="D5" s="187" t="s">
        <v>227</v>
      </c>
      <c r="E5" s="115" t="s">
        <v>89</v>
      </c>
      <c r="F5" s="259" t="s">
        <v>228</v>
      </c>
      <c r="G5" s="119"/>
      <c r="H5" s="115" t="s">
        <v>93</v>
      </c>
      <c r="I5" s="233">
        <v>14.0</v>
      </c>
      <c r="J5" s="229">
        <v>46155.0</v>
      </c>
      <c r="K5" s="233" t="s">
        <v>163</v>
      </c>
      <c r="L5" s="130" t="s">
        <v>229</v>
      </c>
    </row>
    <row r="6" ht="31.5" customHeight="1">
      <c r="A6" s="65"/>
      <c r="B6" s="65"/>
      <c r="C6" s="65"/>
      <c r="D6" s="65"/>
      <c r="E6" s="65"/>
      <c r="F6" s="260" t="s">
        <v>213</v>
      </c>
      <c r="G6" s="119"/>
      <c r="H6" s="65"/>
      <c r="I6" s="233">
        <v>13.0</v>
      </c>
      <c r="J6" s="73"/>
      <c r="K6" s="233" t="s">
        <v>163</v>
      </c>
      <c r="L6" s="130" t="s">
        <v>188</v>
      </c>
    </row>
    <row r="7">
      <c r="A7" s="73"/>
      <c r="B7" s="73"/>
      <c r="C7" s="73"/>
      <c r="D7" s="73"/>
      <c r="E7" s="73"/>
      <c r="F7" s="130" t="s">
        <v>229</v>
      </c>
      <c r="G7" s="119"/>
      <c r="H7" s="73"/>
      <c r="I7" s="261"/>
      <c r="J7" s="262"/>
      <c r="K7" s="261"/>
      <c r="L7" s="263"/>
    </row>
    <row r="9">
      <c r="A9" s="114" t="s">
        <v>226</v>
      </c>
      <c r="B9" s="264" t="s">
        <v>230</v>
      </c>
      <c r="C9" s="115">
        <v>7.0</v>
      </c>
      <c r="D9" s="187" t="s">
        <v>227</v>
      </c>
      <c r="E9" s="115" t="s">
        <v>231</v>
      </c>
      <c r="F9" s="260" t="s">
        <v>213</v>
      </c>
      <c r="G9" s="119"/>
      <c r="H9" s="115" t="s">
        <v>98</v>
      </c>
      <c r="I9" s="115">
        <v>7.0</v>
      </c>
      <c r="J9" s="229">
        <v>46155.0</v>
      </c>
      <c r="K9" s="233" t="s">
        <v>232</v>
      </c>
      <c r="L9" s="130" t="s">
        <v>212</v>
      </c>
    </row>
    <row r="10">
      <c r="A10" s="65"/>
      <c r="B10" s="65"/>
      <c r="C10" s="65"/>
      <c r="D10" s="65"/>
      <c r="E10" s="65"/>
      <c r="F10" s="263"/>
      <c r="G10" s="119"/>
      <c r="H10" s="65"/>
      <c r="I10" s="65"/>
      <c r="J10" s="65"/>
      <c r="K10" s="261"/>
      <c r="L10" s="263"/>
    </row>
    <row r="11">
      <c r="A11" s="73"/>
      <c r="B11" s="73"/>
      <c r="C11" s="73"/>
      <c r="D11" s="73"/>
      <c r="E11" s="73"/>
      <c r="F11" s="263"/>
      <c r="G11" s="119"/>
      <c r="H11" s="73"/>
      <c r="I11" s="73"/>
      <c r="J11" s="73"/>
      <c r="K11" s="261"/>
      <c r="L11" s="263"/>
    </row>
    <row r="12" ht="25.5" customHeight="1">
      <c r="A12" s="265" t="s">
        <v>233</v>
      </c>
    </row>
    <row r="15">
      <c r="A15" s="266" t="s">
        <v>234</v>
      </c>
    </row>
    <row r="16">
      <c r="A16" s="223"/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2"/>
    </row>
    <row r="17">
      <c r="A17" s="103"/>
      <c r="B17" s="267" t="s">
        <v>2</v>
      </c>
      <c r="C17" s="268"/>
      <c r="D17" s="268"/>
      <c r="E17" s="268"/>
      <c r="F17" s="269"/>
      <c r="G17" s="107"/>
      <c r="H17" s="267" t="s">
        <v>3</v>
      </c>
      <c r="I17" s="268"/>
      <c r="J17" s="268"/>
      <c r="K17" s="268"/>
      <c r="L17" s="269"/>
    </row>
    <row r="18">
      <c r="A18" s="270"/>
      <c r="B18" s="271" t="s">
        <v>10</v>
      </c>
      <c r="C18" s="272" t="s">
        <v>103</v>
      </c>
      <c r="D18" s="271" t="s">
        <v>12</v>
      </c>
      <c r="E18" s="271" t="s">
        <v>104</v>
      </c>
      <c r="F18" s="271" t="s">
        <v>14</v>
      </c>
      <c r="G18" s="273"/>
      <c r="H18" s="271" t="s">
        <v>105</v>
      </c>
      <c r="I18" s="271" t="s">
        <v>106</v>
      </c>
      <c r="J18" s="271" t="s">
        <v>107</v>
      </c>
      <c r="K18" s="271" t="s">
        <v>108</v>
      </c>
      <c r="L18" s="271" t="s">
        <v>109</v>
      </c>
    </row>
    <row r="19" ht="25.5" customHeight="1">
      <c r="A19" s="274" t="s">
        <v>234</v>
      </c>
      <c r="B19" s="275" t="s">
        <v>168</v>
      </c>
      <c r="C19" s="276">
        <v>20.0</v>
      </c>
      <c r="D19" s="277">
        <v>46165.0</v>
      </c>
      <c r="E19" s="276" t="s">
        <v>89</v>
      </c>
      <c r="F19" s="278" t="s">
        <v>235</v>
      </c>
      <c r="G19" s="279"/>
      <c r="H19" s="275" t="s">
        <v>168</v>
      </c>
      <c r="I19" s="280">
        <v>20.0</v>
      </c>
      <c r="J19" s="281">
        <v>46165.0</v>
      </c>
      <c r="K19" s="280" t="s">
        <v>236</v>
      </c>
      <c r="L19" s="282" t="s">
        <v>229</v>
      </c>
    </row>
    <row r="20" ht="24.0" customHeight="1">
      <c r="A20" s="283"/>
      <c r="B20" s="283"/>
      <c r="C20" s="283"/>
      <c r="D20" s="283"/>
      <c r="E20" s="283"/>
      <c r="F20" s="284" t="s">
        <v>213</v>
      </c>
      <c r="G20" s="279"/>
      <c r="H20" s="283"/>
      <c r="I20" s="285"/>
      <c r="J20" s="285"/>
      <c r="K20" s="285"/>
      <c r="L20" s="285"/>
    </row>
    <row r="21" ht="19.5" customHeight="1">
      <c r="A21" s="283"/>
      <c r="B21" s="283"/>
      <c r="C21" s="283"/>
      <c r="D21" s="283"/>
      <c r="E21" s="283"/>
      <c r="F21" s="286" t="s">
        <v>188</v>
      </c>
      <c r="G21" s="279"/>
      <c r="H21" s="283"/>
      <c r="I21" s="287"/>
      <c r="J21" s="288"/>
      <c r="K21" s="287"/>
      <c r="L21" s="289"/>
    </row>
    <row r="22" ht="21.0" customHeight="1">
      <c r="A22" s="285"/>
      <c r="B22" s="285"/>
      <c r="C22" s="285"/>
      <c r="D22" s="285"/>
      <c r="E22" s="285"/>
      <c r="F22" s="286" t="s">
        <v>229</v>
      </c>
      <c r="G22" s="279"/>
      <c r="H22" s="285"/>
      <c r="I22" s="287"/>
      <c r="J22" s="288"/>
      <c r="K22" s="287"/>
      <c r="L22" s="289"/>
    </row>
    <row r="23" ht="27.75" customHeight="1">
      <c r="A23" s="290" t="s">
        <v>237</v>
      </c>
      <c r="G23" s="291"/>
      <c r="H23" s="292" t="s">
        <v>238</v>
      </c>
    </row>
    <row r="24">
      <c r="A24" s="293"/>
      <c r="B24" s="294"/>
      <c r="C24" s="295"/>
      <c r="D24" s="294"/>
      <c r="E24" s="294"/>
      <c r="F24" s="294"/>
      <c r="G24" s="294"/>
      <c r="H24" s="294"/>
      <c r="I24" s="294"/>
      <c r="J24" s="294"/>
      <c r="K24" s="294"/>
      <c r="L24" s="294"/>
    </row>
    <row r="25">
      <c r="A25" s="296"/>
      <c r="B25" s="297" t="s">
        <v>10</v>
      </c>
      <c r="C25" s="298" t="s">
        <v>103</v>
      </c>
      <c r="D25" s="297" t="s">
        <v>12</v>
      </c>
      <c r="E25" s="297" t="s">
        <v>104</v>
      </c>
      <c r="F25" s="297" t="s">
        <v>14</v>
      </c>
      <c r="G25" s="297"/>
      <c r="H25" s="297" t="s">
        <v>105</v>
      </c>
      <c r="I25" s="297" t="s">
        <v>106</v>
      </c>
      <c r="J25" s="297" t="s">
        <v>107</v>
      </c>
      <c r="K25" s="297" t="s">
        <v>108</v>
      </c>
      <c r="L25" s="297" t="s">
        <v>109</v>
      </c>
    </row>
    <row r="26" ht="34.5" customHeight="1">
      <c r="A26" s="274" t="s">
        <v>234</v>
      </c>
      <c r="B26" s="299" t="s">
        <v>162</v>
      </c>
      <c r="C26" s="276">
        <v>11.0</v>
      </c>
      <c r="D26" s="277">
        <v>46165.0</v>
      </c>
      <c r="E26" s="276" t="s">
        <v>239</v>
      </c>
      <c r="F26" s="278" t="s">
        <v>235</v>
      </c>
      <c r="G26" s="279"/>
      <c r="H26" s="299" t="s">
        <v>162</v>
      </c>
      <c r="I26" s="276">
        <v>11.0</v>
      </c>
      <c r="J26" s="277">
        <v>46165.0</v>
      </c>
      <c r="K26" s="276" t="s">
        <v>240</v>
      </c>
      <c r="L26" s="300" t="s">
        <v>188</v>
      </c>
    </row>
    <row r="27" ht="27.0" customHeight="1">
      <c r="A27" s="283"/>
      <c r="B27" s="283"/>
      <c r="C27" s="283"/>
      <c r="D27" s="283"/>
      <c r="E27" s="283"/>
      <c r="F27" s="284" t="s">
        <v>213</v>
      </c>
      <c r="G27" s="279"/>
      <c r="H27" s="283"/>
      <c r="I27" s="283"/>
      <c r="J27" s="283"/>
      <c r="K27" s="283"/>
      <c r="L27" s="283"/>
    </row>
    <row r="28" ht="29.25" customHeight="1">
      <c r="A28" s="283"/>
      <c r="B28" s="283"/>
      <c r="C28" s="283"/>
      <c r="D28" s="283"/>
      <c r="E28" s="283"/>
      <c r="F28" s="278" t="s">
        <v>241</v>
      </c>
      <c r="G28" s="291"/>
      <c r="H28" s="283"/>
      <c r="I28" s="283"/>
      <c r="J28" s="283"/>
      <c r="K28" s="283"/>
      <c r="L28" s="283"/>
    </row>
    <row r="29" ht="29.25" customHeight="1">
      <c r="A29" s="285"/>
      <c r="B29" s="285"/>
      <c r="C29" s="285"/>
      <c r="D29" s="285"/>
      <c r="E29" s="285"/>
      <c r="F29" s="286" t="s">
        <v>188</v>
      </c>
      <c r="G29" s="291"/>
      <c r="H29" s="285"/>
      <c r="I29" s="285"/>
      <c r="J29" s="285"/>
      <c r="K29" s="285"/>
      <c r="L29" s="285"/>
    </row>
    <row r="30" ht="29.25" customHeight="1">
      <c r="A30" s="290" t="s">
        <v>237</v>
      </c>
      <c r="G30" s="291"/>
      <c r="H30" s="292" t="s">
        <v>238</v>
      </c>
    </row>
    <row r="31">
      <c r="A31" s="293"/>
      <c r="B31" s="294"/>
      <c r="C31" s="295"/>
      <c r="D31" s="294"/>
      <c r="E31" s="294"/>
      <c r="F31" s="294"/>
    </row>
    <row r="32">
      <c r="A32" s="296"/>
      <c r="B32" s="297" t="s">
        <v>10</v>
      </c>
      <c r="C32" s="298" t="s">
        <v>103</v>
      </c>
      <c r="D32" s="297" t="s">
        <v>12</v>
      </c>
      <c r="E32" s="297" t="s">
        <v>104</v>
      </c>
      <c r="F32" s="297" t="s">
        <v>14</v>
      </c>
      <c r="G32" s="297"/>
      <c r="H32" s="297" t="s">
        <v>105</v>
      </c>
      <c r="I32" s="297" t="s">
        <v>106</v>
      </c>
      <c r="J32" s="297" t="s">
        <v>107</v>
      </c>
      <c r="K32" s="297" t="s">
        <v>108</v>
      </c>
      <c r="L32" s="297" t="s">
        <v>109</v>
      </c>
    </row>
    <row r="33" ht="27.75" customHeight="1">
      <c r="A33" s="274" t="s">
        <v>234</v>
      </c>
      <c r="B33" s="301" t="s">
        <v>173</v>
      </c>
      <c r="C33" s="276">
        <f>2+5</f>
        <v>7</v>
      </c>
      <c r="D33" s="277">
        <v>46165.0</v>
      </c>
      <c r="E33" s="276" t="s">
        <v>242</v>
      </c>
      <c r="F33" s="286" t="s">
        <v>235</v>
      </c>
      <c r="G33" s="279"/>
      <c r="H33" s="301" t="s">
        <v>173</v>
      </c>
      <c r="I33" s="276">
        <v>7.0</v>
      </c>
      <c r="J33" s="277">
        <v>46165.0</v>
      </c>
      <c r="K33" s="302" t="s">
        <v>49</v>
      </c>
      <c r="L33" s="286" t="s">
        <v>212</v>
      </c>
    </row>
    <row r="34" ht="25.5" customHeight="1">
      <c r="A34" s="283"/>
      <c r="B34" s="283"/>
      <c r="C34" s="283"/>
      <c r="D34" s="283"/>
      <c r="E34" s="283"/>
      <c r="F34" s="303" t="s">
        <v>243</v>
      </c>
      <c r="G34" s="279"/>
      <c r="H34" s="283"/>
      <c r="I34" s="283"/>
      <c r="J34" s="283"/>
      <c r="K34" s="287"/>
      <c r="L34" s="289"/>
    </row>
    <row r="35">
      <c r="A35" s="285"/>
      <c r="B35" s="285"/>
      <c r="C35" s="285"/>
      <c r="D35" s="285"/>
      <c r="E35" s="285"/>
      <c r="F35" s="289"/>
      <c r="G35" s="279"/>
      <c r="H35" s="285"/>
      <c r="I35" s="285"/>
      <c r="J35" s="285"/>
      <c r="K35" s="287"/>
      <c r="L35" s="289"/>
    </row>
    <row r="36" ht="23.25" customHeight="1">
      <c r="A36" s="290" t="s">
        <v>237</v>
      </c>
      <c r="G36" s="291"/>
      <c r="H36" s="292" t="s">
        <v>238</v>
      </c>
    </row>
    <row r="37">
      <c r="A37" s="293"/>
      <c r="B37" s="294"/>
      <c r="C37" s="295"/>
      <c r="D37" s="294"/>
      <c r="E37" s="294"/>
      <c r="F37" s="294"/>
    </row>
  </sheetData>
  <mergeCells count="58">
    <mergeCell ref="J26:J29"/>
    <mergeCell ref="K26:K29"/>
    <mergeCell ref="L26:L29"/>
    <mergeCell ref="H30:L30"/>
    <mergeCell ref="H33:H35"/>
    <mergeCell ref="I33:I35"/>
    <mergeCell ref="J33:J35"/>
    <mergeCell ref="H36:L36"/>
    <mergeCell ref="A26:A29"/>
    <mergeCell ref="A33:A35"/>
    <mergeCell ref="B33:B35"/>
    <mergeCell ref="C33:C35"/>
    <mergeCell ref="D33:D35"/>
    <mergeCell ref="E33:E35"/>
    <mergeCell ref="A36:F36"/>
    <mergeCell ref="B26:B29"/>
    <mergeCell ref="C26:C29"/>
    <mergeCell ref="D26:D29"/>
    <mergeCell ref="E26:E29"/>
    <mergeCell ref="H26:H29"/>
    <mergeCell ref="I26:I29"/>
    <mergeCell ref="A30:F30"/>
    <mergeCell ref="H5:H7"/>
    <mergeCell ref="J5:J6"/>
    <mergeCell ref="H9:H11"/>
    <mergeCell ref="I9:I11"/>
    <mergeCell ref="J9:J11"/>
    <mergeCell ref="A12:L12"/>
    <mergeCell ref="A15:L15"/>
    <mergeCell ref="A16:L16"/>
    <mergeCell ref="B17:F17"/>
    <mergeCell ref="H17:L17"/>
    <mergeCell ref="A1:L1"/>
    <mergeCell ref="A2:L2"/>
    <mergeCell ref="B3:F3"/>
    <mergeCell ref="H3:L3"/>
    <mergeCell ref="A5:A7"/>
    <mergeCell ref="B5:B7"/>
    <mergeCell ref="C5:C7"/>
    <mergeCell ref="D5:D7"/>
    <mergeCell ref="E5:E7"/>
    <mergeCell ref="A9:A11"/>
    <mergeCell ref="B9:B11"/>
    <mergeCell ref="C9:C11"/>
    <mergeCell ref="D9:D11"/>
    <mergeCell ref="E9:E11"/>
    <mergeCell ref="J19:J20"/>
    <mergeCell ref="K19:K20"/>
    <mergeCell ref="L19:L20"/>
    <mergeCell ref="A23:F23"/>
    <mergeCell ref="H23:L23"/>
    <mergeCell ref="A19:A22"/>
    <mergeCell ref="B19:B22"/>
    <mergeCell ref="C19:C22"/>
    <mergeCell ref="D19:D22"/>
    <mergeCell ref="E19:E22"/>
    <mergeCell ref="H19:H22"/>
    <mergeCell ref="I19:I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35" t="s">
        <v>244</v>
      </c>
    </row>
    <row r="2">
      <c r="A2" s="223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2"/>
    </row>
    <row r="3">
      <c r="A3" s="103"/>
      <c r="B3" s="253" t="s">
        <v>2</v>
      </c>
      <c r="C3" s="105"/>
      <c r="D3" s="105"/>
      <c r="E3" s="105"/>
      <c r="F3" s="106"/>
      <c r="G3" s="107"/>
      <c r="H3" s="253" t="s">
        <v>3</v>
      </c>
      <c r="I3" s="105"/>
      <c r="J3" s="105"/>
      <c r="K3" s="105"/>
      <c r="L3" s="106"/>
    </row>
    <row r="4">
      <c r="A4" s="254"/>
      <c r="B4" s="255" t="s">
        <v>10</v>
      </c>
      <c r="C4" s="256" t="s">
        <v>103</v>
      </c>
      <c r="D4" s="255" t="s">
        <v>12</v>
      </c>
      <c r="E4" s="255" t="s">
        <v>104</v>
      </c>
      <c r="F4" s="255" t="s">
        <v>14</v>
      </c>
      <c r="G4" s="112"/>
      <c r="H4" s="257" t="s">
        <v>105</v>
      </c>
      <c r="I4" s="257" t="s">
        <v>106</v>
      </c>
      <c r="J4" s="257" t="s">
        <v>107</v>
      </c>
      <c r="K4" s="257" t="s">
        <v>108</v>
      </c>
      <c r="L4" s="255" t="s">
        <v>109</v>
      </c>
    </row>
    <row r="5" ht="17.25" customHeight="1">
      <c r="A5" s="114" t="s">
        <v>245</v>
      </c>
      <c r="B5" s="304" t="s">
        <v>230</v>
      </c>
      <c r="C5" s="115">
        <v>24.0</v>
      </c>
      <c r="D5" s="186">
        <v>46163.0</v>
      </c>
      <c r="E5" s="115" t="s">
        <v>87</v>
      </c>
      <c r="F5" s="130" t="s">
        <v>120</v>
      </c>
      <c r="G5" s="119"/>
      <c r="H5" s="304" t="s">
        <v>230</v>
      </c>
      <c r="I5" s="115">
        <v>24.0</v>
      </c>
      <c r="J5" s="186">
        <v>46163.0</v>
      </c>
      <c r="K5" s="115" t="s">
        <v>246</v>
      </c>
      <c r="L5" s="305" t="s">
        <v>243</v>
      </c>
    </row>
    <row r="6">
      <c r="A6" s="65"/>
      <c r="B6" s="65"/>
      <c r="C6" s="65"/>
      <c r="D6" s="65"/>
      <c r="E6" s="65"/>
      <c r="F6" s="130" t="s">
        <v>115</v>
      </c>
      <c r="G6" s="119"/>
      <c r="H6" s="65"/>
      <c r="I6" s="65"/>
      <c r="J6" s="65"/>
      <c r="K6" s="65"/>
      <c r="L6" s="65"/>
    </row>
    <row r="7">
      <c r="A7" s="73"/>
      <c r="B7" s="73"/>
      <c r="C7" s="73"/>
      <c r="D7" s="73"/>
      <c r="E7" s="73"/>
      <c r="F7" s="263"/>
      <c r="G7" s="119"/>
      <c r="H7" s="73"/>
      <c r="I7" s="73"/>
      <c r="J7" s="73"/>
      <c r="K7" s="73"/>
      <c r="L7" s="73"/>
    </row>
    <row r="8" ht="27.0" customHeight="1">
      <c r="A8" s="306"/>
      <c r="B8" s="307"/>
      <c r="C8" s="307"/>
      <c r="D8" s="308"/>
      <c r="E8" s="307"/>
      <c r="F8" s="309"/>
      <c r="G8" s="310"/>
      <c r="H8" s="307"/>
      <c r="I8" s="307"/>
      <c r="J8" s="308"/>
      <c r="K8" s="307"/>
      <c r="L8" s="309"/>
    </row>
    <row r="9">
      <c r="A9" s="254"/>
      <c r="B9" s="255" t="s">
        <v>10</v>
      </c>
      <c r="C9" s="256" t="s">
        <v>103</v>
      </c>
      <c r="D9" s="255" t="s">
        <v>12</v>
      </c>
      <c r="E9" s="255" t="s">
        <v>104</v>
      </c>
      <c r="F9" s="255" t="s">
        <v>14</v>
      </c>
      <c r="G9" s="112"/>
      <c r="H9" s="257" t="s">
        <v>105</v>
      </c>
      <c r="I9" s="257" t="s">
        <v>106</v>
      </c>
      <c r="J9" s="257" t="s">
        <v>107</v>
      </c>
      <c r="K9" s="257" t="s">
        <v>108</v>
      </c>
      <c r="L9" s="255" t="s">
        <v>109</v>
      </c>
    </row>
    <row r="10">
      <c r="A10" s="114" t="s">
        <v>245</v>
      </c>
      <c r="B10" s="311" t="s">
        <v>93</v>
      </c>
      <c r="C10" s="115">
        <v>21.0</v>
      </c>
      <c r="D10" s="186">
        <v>46163.0</v>
      </c>
      <c r="E10" s="115" t="s">
        <v>247</v>
      </c>
      <c r="F10" s="130" t="s">
        <v>120</v>
      </c>
      <c r="G10" s="119"/>
      <c r="H10" s="311" t="s">
        <v>93</v>
      </c>
      <c r="I10" s="115">
        <v>21.0</v>
      </c>
      <c r="J10" s="186">
        <v>46163.0</v>
      </c>
      <c r="K10" s="115" t="s">
        <v>248</v>
      </c>
      <c r="L10" s="118" t="s">
        <v>243</v>
      </c>
    </row>
    <row r="11">
      <c r="A11" s="65"/>
      <c r="B11" s="65"/>
      <c r="C11" s="65"/>
      <c r="D11" s="65"/>
      <c r="E11" s="65"/>
      <c r="F11" s="130" t="s">
        <v>115</v>
      </c>
      <c r="G11" s="119"/>
      <c r="H11" s="65"/>
      <c r="I11" s="65"/>
      <c r="J11" s="73"/>
      <c r="K11" s="73"/>
      <c r="L11" s="263"/>
    </row>
    <row r="12">
      <c r="A12" s="73"/>
      <c r="B12" s="73"/>
      <c r="C12" s="73"/>
      <c r="D12" s="73"/>
      <c r="E12" s="73"/>
      <c r="F12" s="263"/>
      <c r="G12" s="119"/>
      <c r="H12" s="73"/>
      <c r="I12" s="73"/>
      <c r="J12" s="262"/>
      <c r="K12" s="261"/>
      <c r="L12" s="263"/>
    </row>
    <row r="13" ht="27.0" customHeight="1">
      <c r="A13" s="265" t="s">
        <v>249</v>
      </c>
    </row>
    <row r="14" ht="24.0" customHeight="1">
      <c r="A14" s="293"/>
      <c r="B14" s="294"/>
      <c r="C14" s="295"/>
      <c r="D14" s="294"/>
      <c r="E14" s="294"/>
      <c r="F14" s="294"/>
      <c r="G14" s="294"/>
      <c r="H14" s="294"/>
      <c r="I14" s="294"/>
      <c r="J14" s="294"/>
      <c r="K14" s="294"/>
      <c r="L14" s="294"/>
    </row>
    <row r="15">
      <c r="A15" s="254"/>
      <c r="B15" s="255" t="s">
        <v>10</v>
      </c>
      <c r="C15" s="256" t="s">
        <v>103</v>
      </c>
      <c r="D15" s="255" t="s">
        <v>12</v>
      </c>
      <c r="E15" s="255" t="s">
        <v>104</v>
      </c>
      <c r="F15" s="255" t="s">
        <v>14</v>
      </c>
      <c r="G15" s="112"/>
      <c r="H15" s="257" t="s">
        <v>105</v>
      </c>
      <c r="I15" s="257" t="s">
        <v>106</v>
      </c>
      <c r="J15" s="257" t="s">
        <v>107</v>
      </c>
      <c r="K15" s="257" t="s">
        <v>108</v>
      </c>
      <c r="L15" s="255" t="s">
        <v>109</v>
      </c>
    </row>
    <row r="16">
      <c r="A16" s="114" t="s">
        <v>245</v>
      </c>
      <c r="B16" s="312" t="s">
        <v>162</v>
      </c>
      <c r="C16" s="115">
        <v>14.0</v>
      </c>
      <c r="D16" s="117">
        <v>46164.0</v>
      </c>
      <c r="E16" s="115" t="s">
        <v>250</v>
      </c>
      <c r="F16" s="195" t="s">
        <v>112</v>
      </c>
      <c r="G16" s="119"/>
      <c r="H16" s="312" t="s">
        <v>162</v>
      </c>
      <c r="I16" s="115">
        <v>14.0</v>
      </c>
      <c r="J16" s="117">
        <v>46164.0</v>
      </c>
      <c r="K16" s="233" t="s">
        <v>251</v>
      </c>
      <c r="L16" s="130" t="s">
        <v>252</v>
      </c>
    </row>
    <row r="17">
      <c r="A17" s="65"/>
      <c r="B17" s="65"/>
      <c r="C17" s="65"/>
      <c r="D17" s="65"/>
      <c r="E17" s="65"/>
      <c r="F17" s="130" t="s">
        <v>165</v>
      </c>
      <c r="G17" s="119"/>
      <c r="H17" s="65"/>
      <c r="I17" s="65"/>
      <c r="J17" s="65"/>
      <c r="K17" s="261"/>
      <c r="L17" s="263"/>
    </row>
    <row r="18">
      <c r="A18" s="73"/>
      <c r="B18" s="73"/>
      <c r="C18" s="73"/>
      <c r="D18" s="73"/>
      <c r="E18" s="73"/>
      <c r="F18" s="263"/>
      <c r="G18" s="119"/>
      <c r="H18" s="73"/>
      <c r="I18" s="73"/>
      <c r="J18" s="73"/>
      <c r="K18" s="261"/>
      <c r="L18" s="263"/>
    </row>
    <row r="19" ht="25.5" customHeight="1"/>
    <row r="20">
      <c r="A20" s="254"/>
      <c r="B20" s="255" t="s">
        <v>10</v>
      </c>
      <c r="C20" s="256" t="s">
        <v>103</v>
      </c>
      <c r="D20" s="255" t="s">
        <v>12</v>
      </c>
      <c r="E20" s="255" t="s">
        <v>104</v>
      </c>
      <c r="F20" s="255" t="s">
        <v>14</v>
      </c>
      <c r="G20" s="112"/>
      <c r="H20" s="257" t="s">
        <v>105</v>
      </c>
      <c r="I20" s="257" t="s">
        <v>106</v>
      </c>
      <c r="J20" s="257" t="s">
        <v>107</v>
      </c>
      <c r="K20" s="257" t="s">
        <v>108</v>
      </c>
      <c r="L20" s="255" t="s">
        <v>109</v>
      </c>
    </row>
    <row r="21">
      <c r="A21" s="114" t="s">
        <v>245</v>
      </c>
      <c r="B21" s="313" t="s">
        <v>168</v>
      </c>
      <c r="C21" s="115">
        <v>10.0</v>
      </c>
      <c r="D21" s="117">
        <v>46164.0</v>
      </c>
      <c r="E21" s="115" t="s">
        <v>253</v>
      </c>
      <c r="F21" s="195" t="s">
        <v>112</v>
      </c>
      <c r="G21" s="119"/>
      <c r="H21" s="313" t="s">
        <v>168</v>
      </c>
      <c r="I21" s="115">
        <v>10.0</v>
      </c>
      <c r="J21" s="117">
        <v>46164.0</v>
      </c>
      <c r="K21" s="233" t="s">
        <v>25</v>
      </c>
      <c r="L21" s="130" t="s">
        <v>252</v>
      </c>
    </row>
    <row r="22">
      <c r="A22" s="65"/>
      <c r="B22" s="65"/>
      <c r="C22" s="65"/>
      <c r="D22" s="65"/>
      <c r="E22" s="65"/>
      <c r="F22" s="130" t="s">
        <v>165</v>
      </c>
      <c r="G22" s="119"/>
      <c r="H22" s="65"/>
      <c r="I22" s="65"/>
      <c r="J22" s="65"/>
      <c r="K22" s="261"/>
      <c r="L22" s="263"/>
    </row>
    <row r="23">
      <c r="A23" s="73"/>
      <c r="B23" s="73"/>
      <c r="C23" s="73"/>
      <c r="D23" s="73"/>
      <c r="E23" s="73"/>
      <c r="F23" s="263"/>
      <c r="G23" s="119"/>
      <c r="H23" s="73"/>
      <c r="I23" s="73"/>
      <c r="J23" s="73"/>
      <c r="K23" s="261"/>
      <c r="L23" s="263"/>
    </row>
    <row r="24" ht="30.0" customHeight="1">
      <c r="A24" s="265" t="s">
        <v>249</v>
      </c>
    </row>
    <row r="34">
      <c r="A34" s="235" t="s">
        <v>254</v>
      </c>
    </row>
    <row r="35">
      <c r="A35" s="223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2"/>
    </row>
    <row r="36">
      <c r="A36" s="103"/>
      <c r="B36" s="253" t="s">
        <v>2</v>
      </c>
      <c r="C36" s="105"/>
      <c r="D36" s="105"/>
      <c r="E36" s="105"/>
      <c r="F36" s="106"/>
      <c r="G36" s="107"/>
      <c r="H36" s="253" t="s">
        <v>3</v>
      </c>
      <c r="I36" s="105"/>
      <c r="J36" s="105"/>
      <c r="K36" s="105"/>
      <c r="L36" s="106"/>
    </row>
    <row r="37">
      <c r="A37" s="254"/>
      <c r="B37" s="255" t="s">
        <v>10</v>
      </c>
      <c r="C37" s="256" t="s">
        <v>103</v>
      </c>
      <c r="D37" s="255" t="s">
        <v>12</v>
      </c>
      <c r="E37" s="255" t="s">
        <v>104</v>
      </c>
      <c r="F37" s="255" t="s">
        <v>14</v>
      </c>
      <c r="G37" s="112"/>
      <c r="H37" s="257" t="s">
        <v>105</v>
      </c>
      <c r="I37" s="257" t="s">
        <v>106</v>
      </c>
      <c r="J37" s="257" t="s">
        <v>107</v>
      </c>
      <c r="K37" s="257" t="s">
        <v>108</v>
      </c>
      <c r="L37" s="255" t="s">
        <v>109</v>
      </c>
    </row>
    <row r="38">
      <c r="A38" s="114" t="s">
        <v>245</v>
      </c>
      <c r="B38" s="311" t="s">
        <v>162</v>
      </c>
      <c r="C38" s="115">
        <v>18.0</v>
      </c>
      <c r="D38" s="187" t="s">
        <v>255</v>
      </c>
      <c r="E38" s="115" t="s">
        <v>22</v>
      </c>
      <c r="F38" s="130" t="s">
        <v>165</v>
      </c>
      <c r="G38" s="119"/>
      <c r="H38" s="311" t="s">
        <v>162</v>
      </c>
      <c r="I38" s="115">
        <v>18.0</v>
      </c>
      <c r="J38" s="187" t="s">
        <v>255</v>
      </c>
      <c r="K38" s="233" t="s">
        <v>256</v>
      </c>
      <c r="L38" s="130" t="s">
        <v>165</v>
      </c>
    </row>
    <row r="39">
      <c r="A39" s="65"/>
      <c r="B39" s="65"/>
      <c r="C39" s="65"/>
      <c r="D39" s="65"/>
      <c r="E39" s="65"/>
      <c r="F39" s="130" t="s">
        <v>257</v>
      </c>
      <c r="G39" s="119"/>
      <c r="H39" s="65"/>
      <c r="I39" s="65"/>
      <c r="J39" s="73"/>
      <c r="K39" s="233" t="s">
        <v>258</v>
      </c>
      <c r="L39" s="130" t="s">
        <v>259</v>
      </c>
    </row>
    <row r="40">
      <c r="A40" s="73"/>
      <c r="B40" s="73"/>
      <c r="C40" s="73"/>
      <c r="D40" s="73"/>
      <c r="E40" s="73"/>
      <c r="F40" s="263"/>
      <c r="G40" s="119"/>
      <c r="H40" s="73"/>
      <c r="I40" s="73"/>
      <c r="J40" s="262"/>
      <c r="K40" s="261"/>
      <c r="L40" s="263"/>
    </row>
    <row r="42">
      <c r="A42" s="254"/>
      <c r="B42" s="255" t="s">
        <v>10</v>
      </c>
      <c r="C42" s="256" t="s">
        <v>103</v>
      </c>
      <c r="D42" s="255" t="s">
        <v>12</v>
      </c>
      <c r="E42" s="255" t="s">
        <v>104</v>
      </c>
      <c r="F42" s="255" t="s">
        <v>14</v>
      </c>
      <c r="G42" s="112"/>
      <c r="H42" s="257" t="s">
        <v>105</v>
      </c>
      <c r="I42" s="257" t="s">
        <v>106</v>
      </c>
      <c r="J42" s="257" t="s">
        <v>107</v>
      </c>
      <c r="K42" s="257" t="s">
        <v>108</v>
      </c>
      <c r="L42" s="255" t="s">
        <v>109</v>
      </c>
    </row>
    <row r="43">
      <c r="A43" s="114" t="s">
        <v>245</v>
      </c>
      <c r="B43" s="311" t="s">
        <v>173</v>
      </c>
      <c r="C43" s="115">
        <v>4.0</v>
      </c>
      <c r="D43" s="187" t="s">
        <v>260</v>
      </c>
      <c r="E43" s="115" t="s">
        <v>242</v>
      </c>
      <c r="F43" s="130" t="s">
        <v>165</v>
      </c>
      <c r="G43" s="119"/>
      <c r="H43" s="311" t="s">
        <v>261</v>
      </c>
      <c r="I43" s="115">
        <v>4.0</v>
      </c>
      <c r="J43" s="187" t="s">
        <v>260</v>
      </c>
      <c r="K43" s="115" t="s">
        <v>49</v>
      </c>
      <c r="L43" s="130" t="s">
        <v>259</v>
      </c>
    </row>
    <row r="44">
      <c r="A44" s="65"/>
      <c r="B44" s="65"/>
      <c r="C44" s="65"/>
      <c r="D44" s="65"/>
      <c r="E44" s="65"/>
      <c r="F44" s="130" t="s">
        <v>257</v>
      </c>
      <c r="G44" s="119"/>
      <c r="H44" s="65"/>
      <c r="I44" s="65"/>
      <c r="J44" s="73"/>
      <c r="K44" s="73"/>
      <c r="L44" s="130"/>
    </row>
    <row r="45">
      <c r="A45" s="73"/>
      <c r="B45" s="73"/>
      <c r="C45" s="73"/>
      <c r="D45" s="73"/>
      <c r="E45" s="73"/>
      <c r="F45" s="263"/>
      <c r="G45" s="119"/>
      <c r="H45" s="73"/>
      <c r="I45" s="73"/>
      <c r="J45" s="262"/>
      <c r="K45" s="261"/>
      <c r="L45" s="263"/>
    </row>
    <row r="46" ht="24.75" customHeight="1">
      <c r="A46" s="139" t="s">
        <v>262</v>
      </c>
    </row>
  </sheetData>
  <mergeCells count="63">
    <mergeCell ref="I38:I40"/>
    <mergeCell ref="J38:J39"/>
    <mergeCell ref="A35:L35"/>
    <mergeCell ref="B36:F36"/>
    <mergeCell ref="H36:L36"/>
    <mergeCell ref="A38:A40"/>
    <mergeCell ref="B38:B40"/>
    <mergeCell ref="C38:C40"/>
    <mergeCell ref="D38:D40"/>
    <mergeCell ref="H43:H45"/>
    <mergeCell ref="I43:I45"/>
    <mergeCell ref="J43:J44"/>
    <mergeCell ref="K43:K44"/>
    <mergeCell ref="A46:L46"/>
    <mergeCell ref="E38:E40"/>
    <mergeCell ref="H38:H40"/>
    <mergeCell ref="A43:A45"/>
    <mergeCell ref="B43:B45"/>
    <mergeCell ref="C43:C45"/>
    <mergeCell ref="D43:D45"/>
    <mergeCell ref="E43:E45"/>
    <mergeCell ref="H5:H7"/>
    <mergeCell ref="I5:I7"/>
    <mergeCell ref="H10:H12"/>
    <mergeCell ref="I10:I12"/>
    <mergeCell ref="H16:H18"/>
    <mergeCell ref="I16:I18"/>
    <mergeCell ref="J5:J7"/>
    <mergeCell ref="K5:K7"/>
    <mergeCell ref="J10:J11"/>
    <mergeCell ref="K10:K11"/>
    <mergeCell ref="J16:J18"/>
    <mergeCell ref="A1:L1"/>
    <mergeCell ref="A2:L2"/>
    <mergeCell ref="B3:F3"/>
    <mergeCell ref="H3:L3"/>
    <mergeCell ref="A5:A7"/>
    <mergeCell ref="B5:B7"/>
    <mergeCell ref="C5:C7"/>
    <mergeCell ref="L5:L7"/>
    <mergeCell ref="D5:D7"/>
    <mergeCell ref="E5:E7"/>
    <mergeCell ref="B10:B12"/>
    <mergeCell ref="C10:C12"/>
    <mergeCell ref="D10:D12"/>
    <mergeCell ref="E10:E12"/>
    <mergeCell ref="A13:L13"/>
    <mergeCell ref="B21:B23"/>
    <mergeCell ref="C21:C23"/>
    <mergeCell ref="A10:A12"/>
    <mergeCell ref="A16:A18"/>
    <mergeCell ref="B16:B18"/>
    <mergeCell ref="C16:C18"/>
    <mergeCell ref="D16:D18"/>
    <mergeCell ref="E16:E18"/>
    <mergeCell ref="A21:A23"/>
    <mergeCell ref="D21:D23"/>
    <mergeCell ref="E21:E23"/>
    <mergeCell ref="H21:H23"/>
    <mergeCell ref="I21:I23"/>
    <mergeCell ref="J21:J23"/>
    <mergeCell ref="A24:L24"/>
    <mergeCell ref="A34:L3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9.0"/>
    <col customWidth="1" min="3" max="3" width="11.88"/>
    <col customWidth="1" min="4" max="4" width="11.38"/>
    <col customWidth="1" min="5" max="5" width="10.25"/>
    <col customWidth="1" min="6" max="6" width="25.0"/>
    <col customWidth="1" min="7" max="7" width="4.38"/>
    <col customWidth="1" min="8" max="8" width="8.88"/>
    <col customWidth="1" min="9" max="9" width="14.25"/>
    <col customWidth="1" min="10" max="10" width="9.25"/>
    <col customWidth="1" min="11" max="11" width="11.38"/>
    <col customWidth="1" min="12" max="12" width="19.13"/>
    <col customWidth="1" min="13" max="13" width="5.88"/>
    <col customWidth="1" min="14" max="14" width="8.88"/>
    <col customWidth="1" min="15" max="15" width="30.5"/>
    <col customWidth="1" min="16" max="16" width="11.38"/>
    <col customWidth="1" min="17" max="17" width="10.38"/>
    <col customWidth="1" min="18" max="18" width="13.75"/>
    <col customWidth="1" min="19" max="19" width="21.25"/>
    <col customWidth="1" min="20" max="28" width="8.88"/>
    <col customWidth="1" min="29" max="29" width="15.25"/>
    <col customWidth="1" min="30" max="30" width="11.63"/>
    <col customWidth="1" min="31" max="32" width="8.88"/>
    <col customWidth="1" min="33" max="33" width="12.63"/>
    <col customWidth="1" min="34" max="36" width="8.88"/>
  </cols>
  <sheetData>
    <row r="1" ht="33.0" customHeight="1">
      <c r="A1" s="314"/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O1" s="315" t="s">
        <v>263</v>
      </c>
      <c r="AA1" s="316"/>
      <c r="AB1" s="316"/>
      <c r="AC1" s="316"/>
      <c r="AD1" s="316"/>
      <c r="AE1" s="316"/>
      <c r="AF1" s="316"/>
      <c r="AG1" s="316"/>
    </row>
    <row r="2" ht="33.0" customHeight="1">
      <c r="A2" s="314" t="s">
        <v>264</v>
      </c>
      <c r="O2" s="317" t="s">
        <v>265</v>
      </c>
      <c r="AA2" s="318"/>
      <c r="AB2" s="318"/>
      <c r="AC2" s="318"/>
      <c r="AD2" s="318"/>
      <c r="AE2" s="318"/>
      <c r="AF2" s="318"/>
      <c r="AG2" s="318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318"/>
      <c r="N3" s="318"/>
      <c r="O3" s="319"/>
      <c r="P3" s="319"/>
      <c r="Q3" s="319"/>
      <c r="R3" s="319"/>
      <c r="S3" s="319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318"/>
      <c r="AI3" s="318"/>
      <c r="AJ3" s="318"/>
    </row>
    <row r="4" ht="24.75" customHeight="1">
      <c r="A4" s="80" t="s">
        <v>266</v>
      </c>
      <c r="O4" s="320" t="s">
        <v>4</v>
      </c>
      <c r="P4" s="320" t="s">
        <v>5</v>
      </c>
      <c r="Q4" s="320" t="s">
        <v>267</v>
      </c>
      <c r="R4" s="320" t="s">
        <v>7</v>
      </c>
      <c r="S4" s="320" t="s">
        <v>8</v>
      </c>
      <c r="AA4" s="318"/>
      <c r="AB4" s="318"/>
      <c r="AC4" s="318"/>
      <c r="AD4" s="318"/>
      <c r="AE4" s="318"/>
      <c r="AF4" s="318"/>
      <c r="AG4" s="318"/>
      <c r="AH4" s="318"/>
      <c r="AI4" s="318"/>
      <c r="AJ4" s="318"/>
    </row>
    <row r="5" ht="19.5" customHeight="1">
      <c r="A5" s="5"/>
      <c r="B5" s="321" t="s">
        <v>2</v>
      </c>
      <c r="C5" s="322"/>
      <c r="D5" s="322"/>
      <c r="E5" s="322"/>
      <c r="F5" s="323"/>
      <c r="G5" s="324"/>
      <c r="H5" s="321" t="s">
        <v>3</v>
      </c>
      <c r="I5" s="322"/>
      <c r="J5" s="322"/>
      <c r="K5" s="322"/>
      <c r="L5" s="323"/>
      <c r="O5" s="325" t="s">
        <v>243</v>
      </c>
      <c r="P5" s="326" t="s">
        <v>268</v>
      </c>
      <c r="Q5" s="327">
        <f>2+3</f>
        <v>5</v>
      </c>
      <c r="R5" s="328">
        <v>300.0</v>
      </c>
      <c r="S5" s="328">
        <f t="shared" ref="S5:S14" si="1">+Q5*R5</f>
        <v>1500</v>
      </c>
      <c r="AA5" s="318"/>
      <c r="AB5" s="318"/>
      <c r="AH5" s="318"/>
      <c r="AI5" s="318"/>
      <c r="AJ5" s="318"/>
    </row>
    <row r="6" ht="15.0" customHeight="1">
      <c r="A6" s="84" t="s">
        <v>9</v>
      </c>
      <c r="B6" s="84" t="s">
        <v>10</v>
      </c>
      <c r="C6" s="85" t="s">
        <v>11</v>
      </c>
      <c r="D6" s="84" t="s">
        <v>12</v>
      </c>
      <c r="E6" s="84" t="s">
        <v>13</v>
      </c>
      <c r="F6" s="84" t="s">
        <v>14</v>
      </c>
      <c r="G6" s="329"/>
      <c r="H6" s="84" t="s">
        <v>10</v>
      </c>
      <c r="I6" s="84" t="s">
        <v>11</v>
      </c>
      <c r="J6" s="84" t="s">
        <v>12</v>
      </c>
      <c r="K6" s="84" t="s">
        <v>13</v>
      </c>
      <c r="L6" s="84" t="s">
        <v>4</v>
      </c>
      <c r="M6" s="330"/>
      <c r="O6" s="331" t="s">
        <v>252</v>
      </c>
      <c r="P6" s="326" t="s">
        <v>268</v>
      </c>
      <c r="Q6" s="332">
        <v>2.0</v>
      </c>
      <c r="R6" s="328">
        <v>300.0</v>
      </c>
      <c r="S6" s="328">
        <f t="shared" si="1"/>
        <v>600</v>
      </c>
      <c r="T6" s="333"/>
      <c r="AA6" s="318"/>
      <c r="AB6" s="318"/>
      <c r="AH6" s="318"/>
      <c r="AI6" s="318"/>
      <c r="AJ6" s="318"/>
    </row>
    <row r="7">
      <c r="A7" s="334" t="s">
        <v>269</v>
      </c>
      <c r="B7" s="335" t="s">
        <v>200</v>
      </c>
      <c r="C7" s="336" t="s">
        <v>270</v>
      </c>
      <c r="D7" s="337" t="s">
        <v>271</v>
      </c>
      <c r="E7" s="338" t="s">
        <v>272</v>
      </c>
      <c r="F7" s="339" t="s">
        <v>273</v>
      </c>
      <c r="G7" s="340"/>
      <c r="H7" s="341" t="s">
        <v>200</v>
      </c>
      <c r="I7" s="342">
        <v>15.0</v>
      </c>
      <c r="J7" s="341" t="s">
        <v>271</v>
      </c>
      <c r="K7" s="343" t="s">
        <v>274</v>
      </c>
      <c r="L7" s="344" t="s">
        <v>243</v>
      </c>
      <c r="M7" s="345"/>
      <c r="O7" s="325" t="s">
        <v>112</v>
      </c>
      <c r="P7" s="326" t="s">
        <v>268</v>
      </c>
      <c r="Q7" s="332">
        <v>5.0</v>
      </c>
      <c r="R7" s="328">
        <v>300.0</v>
      </c>
      <c r="S7" s="328">
        <f t="shared" si="1"/>
        <v>1500</v>
      </c>
      <c r="T7" s="333"/>
      <c r="AA7" s="318"/>
      <c r="AB7" s="318"/>
      <c r="AH7" s="318"/>
      <c r="AI7" s="318"/>
      <c r="AJ7" s="318"/>
    </row>
    <row r="8" ht="22.5" customHeight="1">
      <c r="A8" s="30"/>
      <c r="B8" s="30"/>
      <c r="C8" s="30"/>
      <c r="D8" s="30"/>
      <c r="E8" s="346" t="s">
        <v>275</v>
      </c>
      <c r="F8" s="347" t="s">
        <v>276</v>
      </c>
      <c r="G8" s="340"/>
      <c r="H8" s="30"/>
      <c r="I8" s="342">
        <v>15.0</v>
      </c>
      <c r="J8" s="30"/>
      <c r="K8" s="343" t="s">
        <v>274</v>
      </c>
      <c r="L8" s="344" t="s">
        <v>252</v>
      </c>
      <c r="O8" s="325" t="s">
        <v>165</v>
      </c>
      <c r="P8" s="326" t="s">
        <v>268</v>
      </c>
      <c r="Q8" s="332">
        <v>5.0</v>
      </c>
      <c r="R8" s="328">
        <v>300.0</v>
      </c>
      <c r="S8" s="328">
        <f t="shared" si="1"/>
        <v>1500</v>
      </c>
      <c r="T8" s="333"/>
      <c r="AA8" s="318"/>
      <c r="AB8" s="318"/>
      <c r="AH8" s="318"/>
      <c r="AI8" s="318"/>
      <c r="AJ8" s="318"/>
    </row>
    <row r="9" ht="22.5" customHeight="1">
      <c r="A9" s="30"/>
      <c r="B9" s="30"/>
      <c r="C9" s="30"/>
      <c r="D9" s="30"/>
      <c r="E9" s="30"/>
      <c r="F9" s="348" t="s">
        <v>115</v>
      </c>
      <c r="G9" s="340"/>
      <c r="H9" s="30"/>
      <c r="I9" s="342">
        <v>15.0</v>
      </c>
      <c r="J9" s="30"/>
      <c r="K9" s="343" t="s">
        <v>274</v>
      </c>
      <c r="L9" s="344" t="s">
        <v>112</v>
      </c>
      <c r="O9" s="331" t="s">
        <v>115</v>
      </c>
      <c r="P9" s="349" t="s">
        <v>268</v>
      </c>
      <c r="Q9" s="332">
        <v>5.0</v>
      </c>
      <c r="R9" s="328">
        <v>300.0</v>
      </c>
      <c r="S9" s="328">
        <f t="shared" si="1"/>
        <v>1500</v>
      </c>
      <c r="T9" s="333"/>
      <c r="AA9" s="318"/>
      <c r="AB9" s="318"/>
      <c r="AH9" s="318"/>
      <c r="AI9" s="318"/>
      <c r="AJ9" s="318"/>
    </row>
    <row r="10" ht="26.25" customHeight="1">
      <c r="A10" s="30"/>
      <c r="B10" s="30"/>
      <c r="C10" s="30"/>
      <c r="D10" s="30"/>
      <c r="E10" s="30"/>
      <c r="F10" s="350" t="s">
        <v>188</v>
      </c>
      <c r="G10" s="340"/>
      <c r="H10" s="30"/>
      <c r="I10" s="342">
        <v>15.0</v>
      </c>
      <c r="J10" s="30"/>
      <c r="K10" s="343" t="s">
        <v>274</v>
      </c>
      <c r="L10" s="344" t="s">
        <v>165</v>
      </c>
      <c r="O10" s="331" t="s">
        <v>277</v>
      </c>
      <c r="P10" s="331" t="s">
        <v>36</v>
      </c>
      <c r="Q10" s="331">
        <v>2.0</v>
      </c>
      <c r="R10" s="351">
        <v>300.0</v>
      </c>
      <c r="S10" s="328">
        <f t="shared" si="1"/>
        <v>600</v>
      </c>
      <c r="T10" s="333"/>
      <c r="AA10" s="318"/>
      <c r="AB10" s="318"/>
      <c r="AH10" s="318"/>
      <c r="AI10" s="318"/>
      <c r="AJ10" s="318"/>
    </row>
    <row r="11" ht="26.25" customHeight="1">
      <c r="A11" s="30"/>
      <c r="B11" s="30"/>
      <c r="C11" s="30"/>
      <c r="D11" s="30"/>
      <c r="E11" s="30"/>
      <c r="F11" s="348" t="s">
        <v>112</v>
      </c>
      <c r="G11" s="340"/>
      <c r="H11" s="30"/>
      <c r="I11" s="342">
        <v>13.0</v>
      </c>
      <c r="J11" s="36"/>
      <c r="K11" s="343" t="s">
        <v>274</v>
      </c>
      <c r="L11" s="344" t="s">
        <v>115</v>
      </c>
      <c r="M11" s="345"/>
      <c r="O11" s="331" t="s">
        <v>278</v>
      </c>
      <c r="P11" s="331" t="s">
        <v>16</v>
      </c>
      <c r="Q11" s="331">
        <v>2.0</v>
      </c>
      <c r="R11" s="351">
        <v>300.0</v>
      </c>
      <c r="S11" s="328">
        <f t="shared" si="1"/>
        <v>600</v>
      </c>
      <c r="T11" s="333"/>
      <c r="AA11" s="318"/>
      <c r="AB11" s="318"/>
      <c r="AH11" s="318"/>
      <c r="AI11" s="318"/>
      <c r="AJ11" s="318"/>
    </row>
    <row r="12" ht="26.25" customHeight="1">
      <c r="A12" s="30"/>
      <c r="B12" s="30"/>
      <c r="C12" s="30"/>
      <c r="D12" s="30"/>
      <c r="E12" s="30"/>
      <c r="F12" s="352" t="s">
        <v>279</v>
      </c>
      <c r="G12" s="340"/>
      <c r="H12" s="30"/>
      <c r="I12" s="342">
        <v>13.0</v>
      </c>
      <c r="J12" s="341" t="s">
        <v>271</v>
      </c>
      <c r="K12" s="343" t="s">
        <v>274</v>
      </c>
      <c r="L12" s="344" t="s">
        <v>280</v>
      </c>
      <c r="M12" s="345"/>
      <c r="O12" s="353" t="s">
        <v>188</v>
      </c>
      <c r="P12" s="353" t="s">
        <v>16</v>
      </c>
      <c r="Q12" s="353">
        <v>2.5</v>
      </c>
      <c r="R12" s="354">
        <v>300.0</v>
      </c>
      <c r="S12" s="355">
        <f t="shared" si="1"/>
        <v>750</v>
      </c>
      <c r="T12" s="333"/>
      <c r="AA12" s="318"/>
      <c r="AB12" s="318"/>
      <c r="AH12" s="318"/>
      <c r="AI12" s="318"/>
      <c r="AJ12" s="318"/>
    </row>
    <row r="13" ht="26.25" customHeight="1">
      <c r="A13" s="30"/>
      <c r="B13" s="30"/>
      <c r="C13" s="30"/>
      <c r="D13" s="30"/>
      <c r="E13" s="30"/>
      <c r="F13" s="348" t="s">
        <v>165</v>
      </c>
      <c r="G13" s="340"/>
      <c r="H13" s="36"/>
      <c r="I13" s="342">
        <v>12.0</v>
      </c>
      <c r="J13" s="30"/>
      <c r="K13" s="343" t="s">
        <v>274</v>
      </c>
      <c r="L13" s="344" t="s">
        <v>281</v>
      </c>
      <c r="M13" s="345"/>
      <c r="O13" s="353" t="s">
        <v>212</v>
      </c>
      <c r="P13" s="353" t="s">
        <v>16</v>
      </c>
      <c r="Q13" s="353">
        <v>2.5</v>
      </c>
      <c r="R13" s="354">
        <v>300.0</v>
      </c>
      <c r="S13" s="355">
        <f t="shared" si="1"/>
        <v>750</v>
      </c>
      <c r="T13" s="333"/>
      <c r="AA13" s="318"/>
      <c r="AB13" s="318"/>
      <c r="AH13" s="318"/>
      <c r="AI13" s="318"/>
      <c r="AJ13" s="318"/>
    </row>
    <row r="14" ht="26.25" customHeight="1">
      <c r="A14" s="36"/>
      <c r="B14" s="36"/>
      <c r="C14" s="36"/>
      <c r="D14" s="36"/>
      <c r="E14" s="36"/>
      <c r="F14" s="352" t="s">
        <v>282</v>
      </c>
      <c r="G14" s="340"/>
      <c r="H14" s="356" t="s">
        <v>77</v>
      </c>
      <c r="I14" s="342">
        <f>SUM(I7:I13)</f>
        <v>98</v>
      </c>
      <c r="J14" s="36"/>
      <c r="K14" s="343"/>
      <c r="L14" s="357"/>
      <c r="M14" s="345"/>
      <c r="O14" s="353" t="s">
        <v>229</v>
      </c>
      <c r="P14" s="353" t="s">
        <v>16</v>
      </c>
      <c r="Q14" s="353">
        <v>2.5</v>
      </c>
      <c r="R14" s="354">
        <v>300.0</v>
      </c>
      <c r="S14" s="355">
        <f t="shared" si="1"/>
        <v>750</v>
      </c>
      <c r="T14" s="333"/>
      <c r="AA14" s="318"/>
      <c r="AB14" s="318"/>
      <c r="AH14" s="318"/>
      <c r="AI14" s="318"/>
      <c r="AJ14" s="318"/>
    </row>
    <row r="15" ht="25.5" customHeight="1">
      <c r="A15" s="358" t="s">
        <v>283</v>
      </c>
      <c r="B15" s="359"/>
      <c r="C15" s="359"/>
      <c r="D15" s="360"/>
      <c r="E15" s="361" t="s">
        <v>275</v>
      </c>
      <c r="F15" s="362" t="s">
        <v>284</v>
      </c>
      <c r="G15" s="340"/>
      <c r="H15" s="363"/>
      <c r="I15" s="359"/>
      <c r="J15" s="359"/>
      <c r="K15" s="360"/>
      <c r="L15" s="364" t="s">
        <v>285</v>
      </c>
      <c r="M15" s="345"/>
      <c r="O15" s="365"/>
      <c r="P15" s="366"/>
      <c r="Q15" s="367"/>
      <c r="R15" s="368" t="s">
        <v>286</v>
      </c>
      <c r="S15" s="369">
        <f>SUM(S5:S14)</f>
        <v>10050</v>
      </c>
      <c r="T15" s="333"/>
      <c r="AA15" s="318"/>
      <c r="AB15" s="318"/>
      <c r="AC15" s="370"/>
      <c r="AD15" s="370"/>
      <c r="AE15" s="370"/>
      <c r="AF15" s="318"/>
      <c r="AG15" s="318"/>
      <c r="AH15" s="318"/>
      <c r="AI15" s="318"/>
      <c r="AJ15" s="318"/>
    </row>
    <row r="16" ht="20.25" customHeight="1">
      <c r="A16" s="371"/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2"/>
      <c r="M16" s="345"/>
      <c r="O16" s="220"/>
      <c r="P16" s="220"/>
      <c r="Q16" s="220"/>
      <c r="R16" s="372" t="s">
        <v>287</v>
      </c>
      <c r="S16" s="373">
        <f>600+600</f>
        <v>1200</v>
      </c>
      <c r="T16" s="333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</row>
    <row r="17">
      <c r="O17" s="220"/>
      <c r="P17" s="220"/>
      <c r="Q17" s="220"/>
      <c r="R17" s="372" t="s">
        <v>288</v>
      </c>
      <c r="S17" s="373">
        <f>200*8</f>
        <v>1600</v>
      </c>
      <c r="AA17" s="318"/>
      <c r="AB17" s="318"/>
    </row>
    <row r="18">
      <c r="O18" s="220"/>
      <c r="P18" s="220"/>
      <c r="Q18" s="220"/>
      <c r="R18" s="374" t="s">
        <v>77</v>
      </c>
      <c r="S18" s="375">
        <f>SUM(S15:S17)</f>
        <v>12850</v>
      </c>
      <c r="AA18" s="318"/>
      <c r="AB18" s="318"/>
    </row>
    <row r="19">
      <c r="O19" s="220"/>
      <c r="P19" s="220"/>
      <c r="Q19" s="220"/>
      <c r="R19" s="220"/>
      <c r="S19" s="220"/>
      <c r="AA19" s="318"/>
      <c r="AB19" s="318"/>
    </row>
    <row r="20" ht="14.25" customHeight="1">
      <c r="AA20" s="318"/>
      <c r="AB20" s="318"/>
    </row>
    <row r="21" ht="14.25" customHeight="1">
      <c r="AA21" s="318"/>
      <c r="AB21" s="318"/>
    </row>
    <row r="22" ht="15.75" customHeight="1">
      <c r="A22" s="376" t="s">
        <v>289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2"/>
      <c r="N22" s="377" t="s">
        <v>290</v>
      </c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2"/>
      <c r="AA22" s="318"/>
      <c r="AB22" s="318"/>
    </row>
    <row r="23" ht="15.75" customHeight="1">
      <c r="A23" s="103"/>
      <c r="B23" s="378" t="s">
        <v>2</v>
      </c>
      <c r="C23" s="379"/>
      <c r="D23" s="379"/>
      <c r="E23" s="379"/>
      <c r="F23" s="380"/>
      <c r="G23" s="103"/>
      <c r="H23" s="378" t="s">
        <v>3</v>
      </c>
      <c r="I23" s="379"/>
      <c r="J23" s="379"/>
      <c r="K23" s="379"/>
      <c r="L23" s="380"/>
      <c r="O23" s="317" t="s">
        <v>291</v>
      </c>
      <c r="AA23" s="318"/>
      <c r="AB23" s="318"/>
    </row>
    <row r="24" ht="15.75" customHeight="1">
      <c r="A24" s="381"/>
      <c r="B24" s="382" t="s">
        <v>10</v>
      </c>
      <c r="C24" s="383" t="s">
        <v>103</v>
      </c>
      <c r="D24" s="382" t="s">
        <v>12</v>
      </c>
      <c r="E24" s="382" t="s">
        <v>104</v>
      </c>
      <c r="F24" s="382" t="s">
        <v>14</v>
      </c>
      <c r="G24" s="384"/>
      <c r="H24" s="382" t="s">
        <v>105</v>
      </c>
      <c r="I24" s="382" t="s">
        <v>292</v>
      </c>
      <c r="J24" s="382" t="s">
        <v>107</v>
      </c>
      <c r="K24" s="382" t="s">
        <v>108</v>
      </c>
      <c r="L24" s="382" t="s">
        <v>109</v>
      </c>
      <c r="O24" s="385" t="s">
        <v>3</v>
      </c>
      <c r="P24" s="101"/>
      <c r="Q24" s="101"/>
      <c r="R24" s="101"/>
      <c r="S24" s="102"/>
      <c r="AA24" s="318"/>
      <c r="AB24" s="318"/>
    </row>
    <row r="25" ht="15.75" customHeight="1">
      <c r="A25" s="386" t="s">
        <v>19</v>
      </c>
      <c r="B25" s="387" t="s">
        <v>200</v>
      </c>
      <c r="C25" s="387">
        <v>165.0</v>
      </c>
      <c r="D25" s="388" t="s">
        <v>293</v>
      </c>
      <c r="E25" s="389" t="s">
        <v>294</v>
      </c>
      <c r="F25" s="390" t="s">
        <v>278</v>
      </c>
      <c r="G25" s="391"/>
      <c r="H25" s="392" t="s">
        <v>200</v>
      </c>
      <c r="I25" s="393">
        <v>15.0</v>
      </c>
      <c r="J25" s="394" t="s">
        <v>295</v>
      </c>
      <c r="K25" s="395" t="s">
        <v>250</v>
      </c>
      <c r="L25" s="396" t="s">
        <v>165</v>
      </c>
      <c r="O25" s="320" t="s">
        <v>4</v>
      </c>
      <c r="P25" s="320" t="s">
        <v>5</v>
      </c>
      <c r="Q25" s="320" t="s">
        <v>267</v>
      </c>
      <c r="R25" s="320" t="s">
        <v>7</v>
      </c>
      <c r="S25" s="320" t="s">
        <v>8</v>
      </c>
      <c r="AA25" s="318"/>
      <c r="AB25" s="318"/>
    </row>
    <row r="26" ht="15.75" customHeight="1">
      <c r="A26" s="397"/>
      <c r="B26" s="397"/>
      <c r="C26" s="397"/>
      <c r="D26" s="397"/>
      <c r="E26" s="397"/>
      <c r="F26" s="398" t="s">
        <v>296</v>
      </c>
      <c r="G26" s="391"/>
      <c r="H26" s="397"/>
      <c r="I26" s="393">
        <v>15.0</v>
      </c>
      <c r="J26" s="397"/>
      <c r="K26" s="397"/>
      <c r="L26" s="396" t="s">
        <v>297</v>
      </c>
      <c r="O26" s="331" t="s">
        <v>165</v>
      </c>
      <c r="P26" s="349" t="s">
        <v>36</v>
      </c>
      <c r="Q26" s="332">
        <f t="shared" ref="Q26:Q28" si="2">2+2</f>
        <v>4</v>
      </c>
      <c r="R26" s="351">
        <v>300.0</v>
      </c>
      <c r="S26" s="328">
        <f t="shared" ref="S26:S32" si="3">+Q26*R26</f>
        <v>1200</v>
      </c>
      <c r="AA26" s="318"/>
      <c r="AB26" s="318"/>
    </row>
    <row r="27" ht="14.25" customHeight="1">
      <c r="A27" s="397"/>
      <c r="B27" s="397"/>
      <c r="C27" s="397"/>
      <c r="D27" s="397"/>
      <c r="E27" s="397"/>
      <c r="F27" s="399" t="s">
        <v>115</v>
      </c>
      <c r="G27" s="391"/>
      <c r="H27" s="397"/>
      <c r="I27" s="393">
        <v>15.0</v>
      </c>
      <c r="J27" s="397"/>
      <c r="K27" s="397"/>
      <c r="L27" s="396" t="s">
        <v>112</v>
      </c>
      <c r="O27" s="331" t="s">
        <v>121</v>
      </c>
      <c r="P27" s="349" t="s">
        <v>36</v>
      </c>
      <c r="Q27" s="332">
        <f t="shared" si="2"/>
        <v>4</v>
      </c>
      <c r="R27" s="351">
        <v>300.0</v>
      </c>
      <c r="S27" s="328">
        <f t="shared" si="3"/>
        <v>1200</v>
      </c>
      <c r="AA27" s="318"/>
      <c r="AB27" s="318"/>
    </row>
    <row r="28" ht="15.75" customHeight="1">
      <c r="A28" s="397"/>
      <c r="B28" s="397"/>
      <c r="C28" s="397"/>
      <c r="D28" s="397"/>
      <c r="E28" s="397"/>
      <c r="F28" s="400" t="s">
        <v>282</v>
      </c>
      <c r="G28" s="391"/>
      <c r="H28" s="397"/>
      <c r="I28" s="401">
        <v>15.0</v>
      </c>
      <c r="J28" s="397"/>
      <c r="K28" s="397"/>
      <c r="L28" s="402" t="s">
        <v>298</v>
      </c>
      <c r="O28" s="331" t="s">
        <v>112</v>
      </c>
      <c r="P28" s="349" t="s">
        <v>36</v>
      </c>
      <c r="Q28" s="332">
        <f t="shared" si="2"/>
        <v>4</v>
      </c>
      <c r="R28" s="351">
        <v>300.0</v>
      </c>
      <c r="S28" s="328">
        <f t="shared" si="3"/>
        <v>1200</v>
      </c>
      <c r="AA28" s="318"/>
      <c r="AB28" s="318"/>
    </row>
    <row r="29" ht="15.75" customHeight="1">
      <c r="A29" s="397"/>
      <c r="B29" s="397"/>
      <c r="C29" s="397"/>
      <c r="D29" s="397"/>
      <c r="E29" s="397"/>
      <c r="F29" s="403" t="s">
        <v>165</v>
      </c>
      <c r="G29" s="391"/>
      <c r="H29" s="397"/>
      <c r="I29" s="401">
        <v>15.0</v>
      </c>
      <c r="J29" s="397"/>
      <c r="K29" s="397"/>
      <c r="L29" s="402" t="s">
        <v>299</v>
      </c>
      <c r="O29" s="331" t="s">
        <v>298</v>
      </c>
      <c r="P29" s="349" t="s">
        <v>36</v>
      </c>
      <c r="Q29" s="332">
        <f>2+1</f>
        <v>3</v>
      </c>
      <c r="R29" s="351">
        <v>300.0</v>
      </c>
      <c r="S29" s="328">
        <f t="shared" si="3"/>
        <v>900</v>
      </c>
      <c r="AA29" s="318"/>
      <c r="AB29" s="318"/>
    </row>
    <row r="30" ht="15.75" customHeight="1">
      <c r="A30" s="397"/>
      <c r="B30" s="397"/>
      <c r="C30" s="397"/>
      <c r="D30" s="397"/>
      <c r="E30" s="397"/>
      <c r="F30" s="404" t="s">
        <v>235</v>
      </c>
      <c r="G30" s="391"/>
      <c r="H30" s="397"/>
      <c r="I30" s="401">
        <v>15.0</v>
      </c>
      <c r="J30" s="397"/>
      <c r="K30" s="397"/>
      <c r="L30" s="405" t="s">
        <v>115</v>
      </c>
      <c r="O30" s="331" t="s">
        <v>223</v>
      </c>
      <c r="P30" s="349" t="s">
        <v>36</v>
      </c>
      <c r="Q30" s="332">
        <f>2+2</f>
        <v>4</v>
      </c>
      <c r="R30" s="351">
        <v>300.0</v>
      </c>
      <c r="S30" s="328">
        <f t="shared" si="3"/>
        <v>1200</v>
      </c>
      <c r="AA30" s="318"/>
      <c r="AB30" s="318"/>
    </row>
    <row r="31" ht="15.75" customHeight="1">
      <c r="A31" s="397"/>
      <c r="B31" s="397"/>
      <c r="C31" s="397"/>
      <c r="D31" s="397"/>
      <c r="E31" s="397"/>
      <c r="F31" s="406"/>
      <c r="G31" s="391"/>
      <c r="H31" s="407"/>
      <c r="I31" s="408"/>
      <c r="J31" s="409"/>
      <c r="K31" s="407"/>
      <c r="L31" s="410"/>
      <c r="O31" s="331" t="s">
        <v>115</v>
      </c>
      <c r="P31" s="349" t="s">
        <v>36</v>
      </c>
      <c r="Q31" s="332">
        <v>2.0</v>
      </c>
      <c r="R31" s="351">
        <v>300.0</v>
      </c>
      <c r="S31" s="328">
        <f t="shared" si="3"/>
        <v>600</v>
      </c>
      <c r="AA31" s="318"/>
      <c r="AB31" s="318"/>
    </row>
    <row r="32" ht="15.75" customHeight="1">
      <c r="A32" s="397"/>
      <c r="B32" s="397"/>
      <c r="C32" s="397"/>
      <c r="D32" s="397"/>
      <c r="E32" s="397"/>
      <c r="F32" s="406"/>
      <c r="G32" s="391"/>
      <c r="H32" s="411" t="s">
        <v>200</v>
      </c>
      <c r="I32" s="412">
        <v>15.0</v>
      </c>
      <c r="J32" s="413" t="s">
        <v>295</v>
      </c>
      <c r="K32" s="414" t="s">
        <v>69</v>
      </c>
      <c r="L32" s="415" t="s">
        <v>165</v>
      </c>
      <c r="O32" s="331" t="s">
        <v>252</v>
      </c>
      <c r="P32" s="349" t="s">
        <v>32</v>
      </c>
      <c r="Q32" s="332">
        <v>4.5</v>
      </c>
      <c r="R32" s="351">
        <v>200.0</v>
      </c>
      <c r="S32" s="328">
        <f t="shared" si="3"/>
        <v>900</v>
      </c>
      <c r="AA32" s="318"/>
      <c r="AB32" s="318"/>
    </row>
    <row r="33" ht="15.75" customHeight="1">
      <c r="A33" s="397"/>
      <c r="B33" s="397"/>
      <c r="C33" s="397"/>
      <c r="D33" s="397"/>
      <c r="E33" s="397"/>
      <c r="F33" s="416"/>
      <c r="G33" s="391"/>
      <c r="H33" s="417"/>
      <c r="I33" s="418">
        <v>15.0</v>
      </c>
      <c r="J33" s="397"/>
      <c r="K33" s="397"/>
      <c r="L33" s="419" t="s">
        <v>297</v>
      </c>
      <c r="O33" s="325"/>
      <c r="P33" s="326"/>
      <c r="Q33" s="327"/>
      <c r="R33" s="420" t="s">
        <v>77</v>
      </c>
      <c r="S33" s="421">
        <f>SUM(S26:S32)</f>
        <v>7200</v>
      </c>
      <c r="AA33" s="318"/>
      <c r="AB33" s="318"/>
    </row>
    <row r="34" ht="15.75" customHeight="1">
      <c r="A34" s="397"/>
      <c r="B34" s="397"/>
      <c r="C34" s="397"/>
      <c r="D34" s="397"/>
      <c r="E34" s="397"/>
      <c r="F34" s="422"/>
      <c r="G34" s="391"/>
      <c r="H34" s="417"/>
      <c r="I34" s="418">
        <v>15.0</v>
      </c>
      <c r="J34" s="397"/>
      <c r="K34" s="397"/>
      <c r="L34" s="423" t="s">
        <v>300</v>
      </c>
      <c r="O34" s="220"/>
      <c r="P34" s="220"/>
      <c r="Q34" s="220"/>
      <c r="R34" s="220"/>
      <c r="S34" s="220"/>
      <c r="AA34" s="318"/>
      <c r="AB34" s="318"/>
    </row>
    <row r="35" ht="15.75" customHeight="1">
      <c r="A35" s="397"/>
      <c r="B35" s="397"/>
      <c r="C35" s="397"/>
      <c r="D35" s="397"/>
      <c r="E35" s="397"/>
      <c r="F35" s="424"/>
      <c r="G35" s="425"/>
      <c r="H35" s="417"/>
      <c r="I35" s="418">
        <v>15.0</v>
      </c>
      <c r="J35" s="397"/>
      <c r="K35" s="397"/>
      <c r="L35" s="419" t="s">
        <v>299</v>
      </c>
      <c r="O35" s="220"/>
      <c r="P35" s="220"/>
      <c r="Q35" s="220"/>
      <c r="R35" s="220"/>
      <c r="S35" s="220"/>
    </row>
    <row r="36" ht="15.75" customHeight="1">
      <c r="A36" s="426"/>
      <c r="B36" s="426"/>
      <c r="C36" s="426"/>
      <c r="D36" s="426"/>
      <c r="E36" s="426"/>
      <c r="F36" s="427"/>
      <c r="G36" s="428"/>
      <c r="H36" s="429"/>
      <c r="I36" s="430">
        <v>15.0</v>
      </c>
      <c r="J36" s="431"/>
      <c r="K36" s="407"/>
      <c r="L36" s="432" t="s">
        <v>112</v>
      </c>
      <c r="O36" s="220"/>
      <c r="P36" s="220"/>
      <c r="Q36" s="220"/>
      <c r="R36" s="220"/>
      <c r="S36" s="220"/>
    </row>
    <row r="37" ht="15.75" customHeight="1">
      <c r="E37" s="433" t="s">
        <v>301</v>
      </c>
      <c r="F37" s="434" t="s">
        <v>302</v>
      </c>
      <c r="H37" s="362" t="s">
        <v>77</v>
      </c>
      <c r="I37" s="362">
        <f>SUM(I25:I36)</f>
        <v>165</v>
      </c>
      <c r="J37" s="435"/>
      <c r="K37" s="362" t="s">
        <v>301</v>
      </c>
      <c r="L37" s="436" t="s">
        <v>303</v>
      </c>
      <c r="S37" s="437"/>
    </row>
    <row r="38" ht="15.75" customHeight="1">
      <c r="A38" s="438" t="s">
        <v>304</v>
      </c>
      <c r="B38" s="105"/>
      <c r="C38" s="105"/>
      <c r="D38" s="105"/>
      <c r="E38" s="105"/>
      <c r="F38" s="106"/>
      <c r="G38" s="439"/>
      <c r="H38" s="440"/>
      <c r="I38" s="379"/>
      <c r="J38" s="379"/>
      <c r="K38" s="379"/>
      <c r="L38" s="380"/>
      <c r="S38" s="437"/>
    </row>
    <row r="39" ht="15.75" customHeight="1">
      <c r="S39" s="437"/>
    </row>
    <row r="40" ht="15.75" customHeight="1">
      <c r="O40" s="441" t="s">
        <v>305</v>
      </c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2"/>
    </row>
    <row r="41" ht="15.75" customHeight="1">
      <c r="A41" s="441" t="s">
        <v>306</v>
      </c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2"/>
      <c r="O41" s="317" t="s">
        <v>307</v>
      </c>
    </row>
    <row r="42" ht="15.75" customHeight="1">
      <c r="A42" s="442" t="s">
        <v>2</v>
      </c>
      <c r="B42" s="443"/>
      <c r="C42" s="443"/>
      <c r="D42" s="443"/>
      <c r="E42" s="443"/>
      <c r="F42" s="444"/>
      <c r="G42" s="445"/>
      <c r="H42" s="446" t="s">
        <v>3</v>
      </c>
      <c r="I42" s="447"/>
      <c r="J42" s="447"/>
      <c r="K42" s="447"/>
      <c r="L42" s="448"/>
      <c r="O42" s="385" t="s">
        <v>308</v>
      </c>
      <c r="P42" s="101"/>
      <c r="Q42" s="101"/>
      <c r="R42" s="101"/>
      <c r="S42" s="102"/>
    </row>
    <row r="43" ht="15.75" customHeight="1">
      <c r="A43" s="449" t="s">
        <v>309</v>
      </c>
      <c r="B43" s="449" t="s">
        <v>10</v>
      </c>
      <c r="C43" s="450" t="s">
        <v>103</v>
      </c>
      <c r="D43" s="449" t="s">
        <v>12</v>
      </c>
      <c r="E43" s="451" t="s">
        <v>104</v>
      </c>
      <c r="F43" s="451" t="s">
        <v>14</v>
      </c>
      <c r="G43" s="452"/>
      <c r="H43" s="453" t="s">
        <v>105</v>
      </c>
      <c r="I43" s="453" t="s">
        <v>292</v>
      </c>
      <c r="J43" s="453" t="s">
        <v>107</v>
      </c>
      <c r="K43" s="453" t="s">
        <v>108</v>
      </c>
      <c r="L43" s="453" t="s">
        <v>109</v>
      </c>
      <c r="O43" s="320" t="s">
        <v>4</v>
      </c>
      <c r="P43" s="320" t="s">
        <v>5</v>
      </c>
      <c r="Q43" s="320" t="s">
        <v>267</v>
      </c>
      <c r="R43" s="320" t="s">
        <v>7</v>
      </c>
      <c r="S43" s="320" t="s">
        <v>8</v>
      </c>
    </row>
    <row r="44" ht="15.75" customHeight="1">
      <c r="A44" s="454" t="s">
        <v>19</v>
      </c>
      <c r="B44" s="455" t="s">
        <v>200</v>
      </c>
      <c r="C44" s="456" t="s">
        <v>310</v>
      </c>
      <c r="D44" s="457" t="s">
        <v>311</v>
      </c>
      <c r="E44" s="458" t="s">
        <v>250</v>
      </c>
      <c r="F44" s="459" t="s">
        <v>115</v>
      </c>
      <c r="G44" s="460"/>
      <c r="H44" s="461" t="s">
        <v>200</v>
      </c>
      <c r="I44" s="462">
        <v>15.0</v>
      </c>
      <c r="J44" s="463" t="s">
        <v>311</v>
      </c>
      <c r="K44" s="464" t="s">
        <v>250</v>
      </c>
      <c r="L44" s="331" t="s">
        <v>312</v>
      </c>
      <c r="O44" s="331" t="s">
        <v>121</v>
      </c>
      <c r="P44" s="349" t="s">
        <v>36</v>
      </c>
      <c r="Q44" s="327">
        <f t="shared" ref="Q44:Q45" si="4">2+2</f>
        <v>4</v>
      </c>
      <c r="R44" s="351">
        <v>300.0</v>
      </c>
      <c r="S44" s="328">
        <f t="shared" ref="S44:S55" si="5">+Q44*R44</f>
        <v>1200</v>
      </c>
    </row>
    <row r="45" ht="15.75" customHeight="1">
      <c r="A45" s="397"/>
      <c r="B45" s="397"/>
      <c r="C45" s="397"/>
      <c r="D45" s="465"/>
      <c r="E45" s="466"/>
      <c r="F45" s="467" t="s">
        <v>313</v>
      </c>
      <c r="G45" s="460"/>
      <c r="H45" s="466"/>
      <c r="I45" s="462">
        <v>15.0</v>
      </c>
      <c r="J45" s="466"/>
      <c r="K45" s="466"/>
      <c r="L45" s="325" t="s">
        <v>299</v>
      </c>
      <c r="O45" s="331" t="s">
        <v>223</v>
      </c>
      <c r="P45" s="349" t="s">
        <v>36</v>
      </c>
      <c r="Q45" s="327">
        <f t="shared" si="4"/>
        <v>4</v>
      </c>
      <c r="R45" s="351">
        <v>300.0</v>
      </c>
      <c r="S45" s="328">
        <f t="shared" si="5"/>
        <v>1200</v>
      </c>
    </row>
    <row r="46" ht="15.75" customHeight="1">
      <c r="A46" s="397"/>
      <c r="B46" s="397"/>
      <c r="C46" s="397"/>
      <c r="D46" s="465"/>
      <c r="E46" s="466"/>
      <c r="F46" s="468"/>
      <c r="G46" s="460"/>
      <c r="H46" s="466"/>
      <c r="I46" s="462">
        <v>13.0</v>
      </c>
      <c r="J46" s="466"/>
      <c r="K46" s="466"/>
      <c r="L46" s="331" t="s">
        <v>112</v>
      </c>
      <c r="O46" s="331" t="s">
        <v>112</v>
      </c>
      <c r="P46" s="349" t="s">
        <v>36</v>
      </c>
      <c r="Q46" s="332">
        <f>2+2+1.5</f>
        <v>5.5</v>
      </c>
      <c r="R46" s="351">
        <v>300.0</v>
      </c>
      <c r="S46" s="328">
        <f t="shared" si="5"/>
        <v>1650</v>
      </c>
    </row>
    <row r="47" ht="15.75" customHeight="1">
      <c r="A47" s="397"/>
      <c r="B47" s="397"/>
      <c r="C47" s="397"/>
      <c r="D47" s="465"/>
      <c r="E47" s="466"/>
      <c r="F47" s="459" t="s">
        <v>165</v>
      </c>
      <c r="G47" s="460"/>
      <c r="H47" s="466"/>
      <c r="I47" s="462">
        <v>13.0</v>
      </c>
      <c r="J47" s="466"/>
      <c r="K47" s="466"/>
      <c r="L47" s="469" t="s">
        <v>280</v>
      </c>
      <c r="O47" s="331" t="s">
        <v>312</v>
      </c>
      <c r="P47" s="349" t="s">
        <v>36</v>
      </c>
      <c r="Q47" s="332">
        <f>2+2</f>
        <v>4</v>
      </c>
      <c r="R47" s="351">
        <v>300.0</v>
      </c>
      <c r="S47" s="328">
        <f t="shared" si="5"/>
        <v>1200</v>
      </c>
    </row>
    <row r="48" ht="15.75" customHeight="1">
      <c r="A48" s="397"/>
      <c r="B48" s="397"/>
      <c r="C48" s="397"/>
      <c r="D48" s="465"/>
      <c r="E48" s="466"/>
      <c r="F48" s="470" t="s">
        <v>314</v>
      </c>
      <c r="G48" s="460"/>
      <c r="H48" s="466"/>
      <c r="I48" s="462">
        <v>13.0</v>
      </c>
      <c r="J48" s="466"/>
      <c r="K48" s="466"/>
      <c r="L48" s="325" t="s">
        <v>297</v>
      </c>
      <c r="O48" s="331" t="s">
        <v>115</v>
      </c>
      <c r="P48" s="349" t="s">
        <v>16</v>
      </c>
      <c r="Q48" s="332">
        <v>5.5</v>
      </c>
      <c r="R48" s="351">
        <v>300.0</v>
      </c>
      <c r="S48" s="328">
        <f t="shared" si="5"/>
        <v>1650</v>
      </c>
    </row>
    <row r="49" ht="15.75" customHeight="1">
      <c r="A49" s="397"/>
      <c r="B49" s="397"/>
      <c r="C49" s="397"/>
      <c r="D49" s="465"/>
      <c r="E49" s="466"/>
      <c r="F49" s="459" t="s">
        <v>278</v>
      </c>
      <c r="G49" s="460"/>
      <c r="H49" s="466"/>
      <c r="I49" s="471"/>
      <c r="J49" s="468"/>
      <c r="K49" s="468"/>
      <c r="L49" s="471"/>
      <c r="O49" s="331" t="s">
        <v>243</v>
      </c>
      <c r="P49" s="349" t="s">
        <v>16</v>
      </c>
      <c r="Q49" s="332">
        <v>2.5</v>
      </c>
      <c r="R49" s="351">
        <v>300.0</v>
      </c>
      <c r="S49" s="328">
        <f t="shared" si="5"/>
        <v>750</v>
      </c>
    </row>
    <row r="50" ht="15.75" customHeight="1">
      <c r="A50" s="397"/>
      <c r="B50" s="397"/>
      <c r="C50" s="397"/>
      <c r="D50" s="465"/>
      <c r="E50" s="468"/>
      <c r="F50" s="472" t="s">
        <v>315</v>
      </c>
      <c r="G50" s="473"/>
      <c r="H50" s="466"/>
      <c r="I50" s="474">
        <v>13.0</v>
      </c>
      <c r="J50" s="461" t="s">
        <v>311</v>
      </c>
      <c r="K50" s="475" t="s">
        <v>69</v>
      </c>
      <c r="L50" s="476" t="s">
        <v>312</v>
      </c>
      <c r="O50" s="353" t="s">
        <v>229</v>
      </c>
      <c r="P50" s="477" t="s">
        <v>16</v>
      </c>
      <c r="Q50" s="478">
        <v>3.0</v>
      </c>
      <c r="R50" s="354">
        <v>300.0</v>
      </c>
      <c r="S50" s="355">
        <f t="shared" si="5"/>
        <v>900</v>
      </c>
    </row>
    <row r="51" ht="15.75" customHeight="1">
      <c r="A51" s="479"/>
      <c r="B51" s="480"/>
      <c r="C51" s="481" t="s">
        <v>316</v>
      </c>
      <c r="D51" s="482"/>
      <c r="E51" s="483" t="s">
        <v>317</v>
      </c>
      <c r="F51" s="483" t="s">
        <v>115</v>
      </c>
      <c r="G51" s="484">
        <v>10.0</v>
      </c>
      <c r="H51" s="466"/>
      <c r="I51" s="474">
        <v>13.0</v>
      </c>
      <c r="J51" s="466"/>
      <c r="K51" s="466"/>
      <c r="L51" s="485" t="s">
        <v>299</v>
      </c>
      <c r="O51" s="331" t="s">
        <v>165</v>
      </c>
      <c r="P51" s="349" t="s">
        <v>16</v>
      </c>
      <c r="Q51" s="332">
        <f>5.5</f>
        <v>5.5</v>
      </c>
      <c r="R51" s="351">
        <v>300.0</v>
      </c>
      <c r="S51" s="328">
        <f t="shared" si="5"/>
        <v>1650</v>
      </c>
    </row>
    <row r="52" ht="15.75" customHeight="1">
      <c r="A52" s="397"/>
      <c r="B52" s="397"/>
      <c r="C52" s="397"/>
      <c r="D52" s="465"/>
      <c r="E52" s="486" t="s">
        <v>317</v>
      </c>
      <c r="F52" s="487" t="s">
        <v>318</v>
      </c>
      <c r="G52" s="488"/>
      <c r="H52" s="466"/>
      <c r="I52" s="474">
        <v>13.0</v>
      </c>
      <c r="J52" s="466"/>
      <c r="K52" s="466"/>
      <c r="L52" s="476" t="s">
        <v>319</v>
      </c>
      <c r="O52" s="353" t="s">
        <v>188</v>
      </c>
      <c r="P52" s="477" t="s">
        <v>16</v>
      </c>
      <c r="Q52" s="478">
        <v>4.0</v>
      </c>
      <c r="R52" s="354">
        <v>300.0</v>
      </c>
      <c r="S52" s="355">
        <f t="shared" si="5"/>
        <v>1200</v>
      </c>
    </row>
    <row r="53" ht="15.75" customHeight="1">
      <c r="A53" s="397"/>
      <c r="B53" s="397"/>
      <c r="C53" s="397"/>
      <c r="D53" s="465"/>
      <c r="E53" s="483" t="s">
        <v>317</v>
      </c>
      <c r="F53" s="483" t="s">
        <v>165</v>
      </c>
      <c r="G53" s="484">
        <v>10.0</v>
      </c>
      <c r="H53" s="468"/>
      <c r="I53" s="474">
        <v>13.0</v>
      </c>
      <c r="J53" s="468"/>
      <c r="K53" s="468"/>
      <c r="L53" s="489" t="s">
        <v>297</v>
      </c>
      <c r="O53" s="331" t="s">
        <v>278</v>
      </c>
      <c r="P53" s="349" t="s">
        <v>16</v>
      </c>
      <c r="Q53" s="332">
        <v>5.5</v>
      </c>
      <c r="R53" s="351">
        <v>300.0</v>
      </c>
      <c r="S53" s="328">
        <f t="shared" si="5"/>
        <v>1650</v>
      </c>
    </row>
    <row r="54" ht="15.75" customHeight="1">
      <c r="A54" s="397"/>
      <c r="B54" s="397"/>
      <c r="C54" s="397"/>
      <c r="D54" s="465"/>
      <c r="E54" s="486" t="s">
        <v>317</v>
      </c>
      <c r="F54" s="490" t="s">
        <v>320</v>
      </c>
      <c r="G54" s="488"/>
      <c r="H54" s="491"/>
      <c r="I54" s="492"/>
      <c r="J54" s="492"/>
      <c r="K54" s="492"/>
      <c r="L54" s="492"/>
      <c r="O54" s="331" t="s">
        <v>321</v>
      </c>
      <c r="P54" s="349" t="s">
        <v>16</v>
      </c>
      <c r="Q54" s="332">
        <v>4.0</v>
      </c>
      <c r="R54" s="351">
        <v>300.0</v>
      </c>
      <c r="S54" s="328">
        <f t="shared" si="5"/>
        <v>1200</v>
      </c>
    </row>
    <row r="55" ht="15.75" customHeight="1">
      <c r="A55" s="397"/>
      <c r="B55" s="397"/>
      <c r="C55" s="397"/>
      <c r="D55" s="465"/>
      <c r="E55" s="483" t="s">
        <v>317</v>
      </c>
      <c r="F55" s="483" t="s">
        <v>278</v>
      </c>
      <c r="G55" s="493">
        <v>10.0</v>
      </c>
      <c r="H55" s="494"/>
      <c r="I55" s="495">
        <f>SUM(I44:I54)</f>
        <v>121</v>
      </c>
      <c r="J55" s="496"/>
      <c r="K55" s="497"/>
      <c r="L55" s="498"/>
      <c r="O55" s="331" t="s">
        <v>120</v>
      </c>
      <c r="P55" s="349" t="s">
        <v>16</v>
      </c>
      <c r="Q55" s="332">
        <v>1.5</v>
      </c>
      <c r="R55" s="351">
        <v>300.0</v>
      </c>
      <c r="S55" s="328">
        <f t="shared" si="5"/>
        <v>450</v>
      </c>
    </row>
    <row r="56" ht="15.75" customHeight="1">
      <c r="A56" s="397"/>
      <c r="B56" s="397"/>
      <c r="C56" s="397"/>
      <c r="D56" s="465"/>
      <c r="E56" s="486" t="s">
        <v>174</v>
      </c>
      <c r="F56" s="499" t="s">
        <v>322</v>
      </c>
      <c r="G56" s="500"/>
      <c r="H56" s="494"/>
      <c r="I56" s="495"/>
      <c r="J56" s="496"/>
      <c r="K56" s="497"/>
      <c r="L56" s="498"/>
      <c r="N56" s="501"/>
      <c r="O56" s="331"/>
      <c r="P56" s="349"/>
      <c r="Q56" s="332"/>
      <c r="R56" s="351"/>
      <c r="S56" s="328">
        <f>SUM(S44:S55)</f>
        <v>14700</v>
      </c>
    </row>
    <row r="57" ht="15.75" customHeight="1">
      <c r="A57" s="397"/>
      <c r="B57" s="397"/>
      <c r="C57" s="397"/>
      <c r="D57" s="465"/>
      <c r="E57" s="483"/>
      <c r="F57" s="468"/>
      <c r="G57" s="493"/>
      <c r="H57" s="494"/>
      <c r="I57" s="495"/>
      <c r="J57" s="496"/>
      <c r="K57" s="497"/>
      <c r="L57" s="498"/>
      <c r="N57" s="501"/>
      <c r="O57" s="331"/>
      <c r="P57" s="349"/>
      <c r="Q57" s="332"/>
      <c r="R57" s="351"/>
      <c r="S57" s="328">
        <f>+Q57*R57</f>
        <v>0</v>
      </c>
    </row>
    <row r="58" ht="15.75" customHeight="1">
      <c r="A58" s="397"/>
      <c r="B58" s="397"/>
      <c r="C58" s="397"/>
      <c r="D58" s="465"/>
      <c r="E58" s="483"/>
      <c r="F58" s="483"/>
      <c r="G58" s="500"/>
      <c r="H58" s="494"/>
      <c r="I58" s="495"/>
      <c r="J58" s="496"/>
      <c r="K58" s="497"/>
      <c r="L58" s="498"/>
      <c r="N58" s="501"/>
      <c r="O58" s="502"/>
      <c r="S58" s="437"/>
    </row>
    <row r="59" ht="15.75" customHeight="1">
      <c r="A59" s="503"/>
      <c r="B59" s="504"/>
      <c r="C59" s="505"/>
      <c r="D59" s="506"/>
      <c r="E59" s="507"/>
      <c r="F59" s="508" t="s">
        <v>323</v>
      </c>
      <c r="G59" s="509"/>
      <c r="H59" s="510" t="s">
        <v>324</v>
      </c>
      <c r="I59" s="379"/>
      <c r="J59" s="379"/>
      <c r="K59" s="380"/>
      <c r="L59" s="511" t="s">
        <v>325</v>
      </c>
      <c r="N59" s="501"/>
      <c r="O59" s="512"/>
      <c r="S59" s="437"/>
    </row>
    <row r="60" ht="15.75" customHeight="1">
      <c r="G60" s="509"/>
      <c r="N60" s="501"/>
      <c r="O60" s="512"/>
      <c r="S60" s="437"/>
    </row>
    <row r="61" ht="15.75" customHeight="1">
      <c r="K61" s="99">
        <f>2+2+1.5</f>
        <v>5.5</v>
      </c>
      <c r="N61" s="501"/>
      <c r="O61" s="513"/>
      <c r="S61" s="437"/>
    </row>
    <row r="62" ht="15.75" customHeight="1">
      <c r="N62" s="501"/>
      <c r="O62" s="514"/>
      <c r="S62" s="437"/>
    </row>
    <row r="63" ht="15.75" customHeight="1">
      <c r="N63" s="501"/>
      <c r="O63" s="515"/>
      <c r="S63" s="437"/>
    </row>
    <row r="64" ht="15.75" customHeight="1">
      <c r="N64" s="501"/>
      <c r="O64" s="516"/>
      <c r="S64" s="437"/>
    </row>
    <row r="65" ht="15.75" customHeight="1">
      <c r="N65" s="501"/>
      <c r="O65" s="517"/>
      <c r="S65" s="437"/>
    </row>
    <row r="66" ht="15.75" customHeight="1">
      <c r="N66" s="501"/>
      <c r="O66" s="518"/>
      <c r="S66" s="437"/>
    </row>
    <row r="67" ht="15.75" customHeight="1">
      <c r="N67" s="501"/>
      <c r="O67" s="516"/>
      <c r="S67" s="437"/>
    </row>
    <row r="68" ht="15.75" customHeight="1">
      <c r="N68" s="501"/>
      <c r="O68" s="519"/>
      <c r="S68" s="437"/>
    </row>
    <row r="69" ht="15.75" customHeight="1">
      <c r="N69" s="501"/>
      <c r="O69" s="519"/>
      <c r="S69" s="437"/>
    </row>
    <row r="70" ht="15.75" customHeight="1">
      <c r="N70" s="501"/>
      <c r="O70" s="519"/>
      <c r="S70" s="437"/>
    </row>
    <row r="71" ht="15.75" customHeight="1">
      <c r="N71" s="501"/>
      <c r="O71" s="519"/>
      <c r="S71" s="437"/>
    </row>
    <row r="72" ht="15.75" customHeight="1">
      <c r="N72" s="501"/>
      <c r="O72" s="519"/>
      <c r="S72" s="437"/>
    </row>
    <row r="73" ht="15.75" customHeight="1">
      <c r="S73" s="437"/>
    </row>
    <row r="74" ht="15.75" customHeight="1">
      <c r="A74" s="520" t="s">
        <v>326</v>
      </c>
      <c r="B74" s="447"/>
      <c r="C74" s="447"/>
      <c r="D74" s="447"/>
      <c r="E74" s="447"/>
      <c r="F74" s="521"/>
      <c r="G74" s="522"/>
      <c r="H74" s="523"/>
      <c r="I74" s="523"/>
      <c r="J74" s="523"/>
      <c r="K74" s="523"/>
      <c r="L74" s="523"/>
      <c r="S74" s="437"/>
    </row>
    <row r="75" ht="15.75" customHeight="1">
      <c r="K75" s="345"/>
      <c r="S75" s="437"/>
    </row>
    <row r="76" ht="15.75" customHeight="1">
      <c r="K76" s="345"/>
      <c r="S76" s="437"/>
    </row>
    <row r="77" ht="15.75" customHeight="1">
      <c r="K77" s="345"/>
      <c r="S77" s="437"/>
    </row>
    <row r="78" ht="15.75" customHeight="1">
      <c r="F78" s="99">
        <f>68/2</f>
        <v>34</v>
      </c>
      <c r="K78" s="345"/>
      <c r="S78" s="437"/>
    </row>
    <row r="79" ht="15.75" customHeight="1">
      <c r="K79" s="345"/>
      <c r="S79" s="437"/>
    </row>
    <row r="80" ht="15.75" customHeight="1">
      <c r="K80" s="345"/>
      <c r="S80" s="437"/>
    </row>
    <row r="81" ht="15.75" customHeight="1">
      <c r="K81" s="345"/>
      <c r="S81" s="437"/>
    </row>
    <row r="82" ht="15.75" customHeight="1">
      <c r="K82" s="345"/>
      <c r="S82" s="437"/>
    </row>
    <row r="83" ht="15.75" customHeight="1">
      <c r="K83" s="345"/>
      <c r="S83" s="437"/>
    </row>
    <row r="84" ht="15.75" customHeight="1">
      <c r="K84" s="345"/>
      <c r="S84" s="437"/>
    </row>
    <row r="85" ht="15.75" customHeight="1">
      <c r="K85" s="345"/>
      <c r="S85" s="437"/>
    </row>
    <row r="86" ht="15.75" customHeight="1">
      <c r="K86" s="345"/>
      <c r="S86" s="437"/>
    </row>
    <row r="87" ht="15.75" customHeight="1">
      <c r="K87" s="345"/>
      <c r="S87" s="437"/>
    </row>
    <row r="88" ht="15.75" customHeight="1">
      <c r="K88" s="345"/>
      <c r="S88" s="437"/>
    </row>
    <row r="89" ht="15.75" customHeight="1">
      <c r="K89" s="345"/>
      <c r="S89" s="437"/>
    </row>
    <row r="90" ht="15.75" customHeight="1">
      <c r="K90" s="345"/>
      <c r="S90" s="437"/>
    </row>
    <row r="91" ht="15.75" customHeight="1">
      <c r="K91" s="345"/>
      <c r="S91" s="437"/>
    </row>
    <row r="92" ht="15.75" customHeight="1">
      <c r="K92" s="345"/>
      <c r="S92" s="437"/>
    </row>
    <row r="93" ht="15.75" customHeight="1">
      <c r="K93" s="345"/>
      <c r="S93" s="437"/>
    </row>
    <row r="94" ht="15.75" customHeight="1">
      <c r="K94" s="345"/>
      <c r="S94" s="437"/>
    </row>
    <row r="95" ht="15.75" customHeight="1">
      <c r="K95" s="345"/>
      <c r="S95" s="437"/>
    </row>
    <row r="96" ht="15.75" customHeight="1">
      <c r="K96" s="345"/>
      <c r="S96" s="437"/>
    </row>
    <row r="97" ht="15.75" customHeight="1">
      <c r="K97" s="345"/>
      <c r="S97" s="437"/>
    </row>
    <row r="98" ht="15.75" customHeight="1">
      <c r="K98" s="345"/>
      <c r="S98" s="437"/>
    </row>
    <row r="99" ht="15.75" customHeight="1">
      <c r="K99" s="345"/>
      <c r="S99" s="437"/>
    </row>
    <row r="100" ht="15.75" customHeight="1">
      <c r="K100" s="345"/>
      <c r="S100" s="437"/>
    </row>
    <row r="101" ht="15.75" customHeight="1">
      <c r="K101" s="345"/>
      <c r="S101" s="437"/>
    </row>
    <row r="102" ht="15.75" customHeight="1">
      <c r="K102" s="345"/>
      <c r="S102" s="437"/>
    </row>
    <row r="103" ht="15.75" customHeight="1">
      <c r="K103" s="345"/>
      <c r="S103" s="437"/>
    </row>
    <row r="104" ht="15.75" customHeight="1">
      <c r="K104" s="345"/>
      <c r="S104" s="437"/>
    </row>
    <row r="105" ht="15.75" customHeight="1">
      <c r="K105" s="345"/>
      <c r="S105" s="437"/>
    </row>
    <row r="106" ht="15.75" customHeight="1">
      <c r="K106" s="345"/>
      <c r="S106" s="437"/>
    </row>
    <row r="107" ht="15.75" customHeight="1">
      <c r="K107" s="345"/>
      <c r="S107" s="437"/>
    </row>
    <row r="108" ht="15.75" customHeight="1">
      <c r="K108" s="345"/>
      <c r="S108" s="437"/>
    </row>
    <row r="109" ht="15.75" customHeight="1">
      <c r="K109" s="345"/>
      <c r="S109" s="437"/>
    </row>
    <row r="110" ht="15.75" customHeight="1">
      <c r="K110" s="345"/>
      <c r="S110" s="437"/>
    </row>
    <row r="111" ht="15.75" customHeight="1">
      <c r="K111" s="345"/>
      <c r="S111" s="437"/>
    </row>
    <row r="112" ht="15.75" customHeight="1">
      <c r="K112" s="345"/>
      <c r="S112" s="437"/>
    </row>
    <row r="113" ht="15.75" customHeight="1">
      <c r="K113" s="345"/>
      <c r="S113" s="437"/>
    </row>
    <row r="114" ht="15.75" customHeight="1">
      <c r="K114" s="345"/>
      <c r="S114" s="437"/>
    </row>
    <row r="115" ht="15.75" customHeight="1">
      <c r="K115" s="345"/>
      <c r="S115" s="437"/>
    </row>
    <row r="116" ht="15.75" customHeight="1">
      <c r="K116" s="345"/>
      <c r="S116" s="437"/>
    </row>
    <row r="117" ht="15.75" customHeight="1">
      <c r="K117" s="345"/>
      <c r="S117" s="437"/>
    </row>
    <row r="118" ht="15.75" customHeight="1">
      <c r="K118" s="345"/>
      <c r="S118" s="437"/>
    </row>
    <row r="119" ht="15.75" customHeight="1">
      <c r="K119" s="345"/>
      <c r="S119" s="437"/>
    </row>
    <row r="120" ht="15.75" customHeight="1">
      <c r="K120" s="345"/>
      <c r="S120" s="437"/>
    </row>
    <row r="121" ht="15.75" customHeight="1">
      <c r="K121" s="345"/>
      <c r="S121" s="437"/>
    </row>
    <row r="122" ht="15.75" customHeight="1">
      <c r="K122" s="345"/>
      <c r="S122" s="437"/>
    </row>
    <row r="123" ht="15.75" customHeight="1">
      <c r="K123" s="345"/>
      <c r="S123" s="437"/>
    </row>
    <row r="124" ht="15.75" customHeight="1">
      <c r="K124" s="345"/>
      <c r="S124" s="437"/>
    </row>
    <row r="125" ht="15.75" customHeight="1">
      <c r="K125" s="345"/>
      <c r="S125" s="437"/>
    </row>
    <row r="126" ht="15.75" customHeight="1">
      <c r="K126" s="345"/>
      <c r="S126" s="437"/>
    </row>
    <row r="127" ht="15.75" customHeight="1">
      <c r="K127" s="345"/>
      <c r="S127" s="437"/>
    </row>
    <row r="128" ht="15.75" customHeight="1">
      <c r="K128" s="345"/>
      <c r="S128" s="437"/>
    </row>
    <row r="129" ht="15.75" customHeight="1">
      <c r="K129" s="345"/>
      <c r="S129" s="437"/>
    </row>
    <row r="130" ht="15.75" customHeight="1">
      <c r="K130" s="345"/>
      <c r="S130" s="437"/>
    </row>
    <row r="131" ht="15.75" customHeight="1">
      <c r="K131" s="345"/>
      <c r="S131" s="437"/>
    </row>
    <row r="132" ht="15.75" customHeight="1">
      <c r="K132" s="345"/>
      <c r="S132" s="437"/>
    </row>
    <row r="133" ht="15.75" customHeight="1">
      <c r="K133" s="345"/>
      <c r="S133" s="437"/>
    </row>
    <row r="134" ht="15.75" customHeight="1">
      <c r="K134" s="345"/>
      <c r="S134" s="437"/>
    </row>
    <row r="135" ht="15.75" customHeight="1">
      <c r="K135" s="345"/>
      <c r="S135" s="437"/>
    </row>
    <row r="136" ht="15.75" customHeight="1">
      <c r="K136" s="345"/>
      <c r="S136" s="437"/>
    </row>
    <row r="137" ht="15.75" customHeight="1">
      <c r="K137" s="345"/>
      <c r="S137" s="437"/>
    </row>
    <row r="138" ht="15.75" customHeight="1">
      <c r="K138" s="345"/>
      <c r="S138" s="437"/>
    </row>
    <row r="139" ht="15.75" customHeight="1">
      <c r="K139" s="345"/>
      <c r="S139" s="437"/>
    </row>
    <row r="140" ht="15.75" customHeight="1">
      <c r="K140" s="345"/>
      <c r="S140" s="437"/>
    </row>
    <row r="141" ht="15.75" customHeight="1">
      <c r="K141" s="345"/>
      <c r="S141" s="437"/>
    </row>
    <row r="142" ht="15.75" customHeight="1">
      <c r="K142" s="345"/>
      <c r="S142" s="437"/>
    </row>
    <row r="143" ht="15.75" customHeight="1">
      <c r="K143" s="345"/>
      <c r="S143" s="437"/>
    </row>
    <row r="144" ht="15.75" customHeight="1">
      <c r="K144" s="345"/>
      <c r="S144" s="437"/>
    </row>
    <row r="145" ht="15.75" customHeight="1">
      <c r="K145" s="345"/>
      <c r="S145" s="437"/>
    </row>
    <row r="146" ht="15.75" customHeight="1">
      <c r="K146" s="345"/>
      <c r="S146" s="437"/>
    </row>
    <row r="147" ht="15.75" customHeight="1">
      <c r="K147" s="345"/>
      <c r="S147" s="437"/>
    </row>
    <row r="148" ht="15.75" customHeight="1">
      <c r="K148" s="345"/>
      <c r="S148" s="437"/>
    </row>
    <row r="149" ht="15.75" customHeight="1">
      <c r="K149" s="345"/>
      <c r="S149" s="437"/>
    </row>
    <row r="150" ht="15.75" customHeight="1">
      <c r="K150" s="345"/>
      <c r="S150" s="437"/>
    </row>
    <row r="151" ht="15.75" customHeight="1">
      <c r="K151" s="345"/>
      <c r="S151" s="437"/>
    </row>
    <row r="152" ht="15.75" customHeight="1">
      <c r="K152" s="345"/>
      <c r="S152" s="437"/>
    </row>
    <row r="153" ht="15.75" customHeight="1">
      <c r="K153" s="345"/>
      <c r="S153" s="437"/>
    </row>
    <row r="154" ht="15.75" customHeight="1">
      <c r="K154" s="345"/>
      <c r="S154" s="437"/>
    </row>
    <row r="155" ht="15.75" customHeight="1">
      <c r="K155" s="345"/>
      <c r="S155" s="437"/>
    </row>
    <row r="156" ht="15.75" customHeight="1">
      <c r="K156" s="345"/>
      <c r="S156" s="437"/>
    </row>
    <row r="157" ht="15.75" customHeight="1">
      <c r="K157" s="345"/>
      <c r="S157" s="437"/>
    </row>
    <row r="158" ht="15.75" customHeight="1">
      <c r="K158" s="345"/>
      <c r="S158" s="437"/>
    </row>
    <row r="159" ht="15.75" customHeight="1">
      <c r="K159" s="345"/>
      <c r="S159" s="437"/>
    </row>
    <row r="160" ht="15.75" customHeight="1">
      <c r="K160" s="345"/>
      <c r="S160" s="437"/>
    </row>
    <row r="161" ht="15.75" customHeight="1">
      <c r="K161" s="345"/>
      <c r="S161" s="437"/>
    </row>
    <row r="162" ht="15.75" customHeight="1">
      <c r="K162" s="345"/>
      <c r="S162" s="437"/>
    </row>
    <row r="163" ht="15.75" customHeight="1">
      <c r="K163" s="345"/>
      <c r="S163" s="437"/>
    </row>
    <row r="164" ht="15.75" customHeight="1">
      <c r="K164" s="345"/>
      <c r="S164" s="437"/>
    </row>
    <row r="165" ht="15.75" customHeight="1">
      <c r="K165" s="345"/>
      <c r="S165" s="437"/>
    </row>
    <row r="166" ht="15.75" customHeight="1">
      <c r="K166" s="345"/>
      <c r="S166" s="437"/>
    </row>
    <row r="167" ht="15.75" customHeight="1">
      <c r="K167" s="345"/>
      <c r="S167" s="437"/>
    </row>
    <row r="168" ht="15.75" customHeight="1">
      <c r="K168" s="345"/>
      <c r="S168" s="437"/>
    </row>
    <row r="169" ht="15.75" customHeight="1">
      <c r="K169" s="345"/>
      <c r="S169" s="437"/>
    </row>
    <row r="170" ht="15.75" customHeight="1">
      <c r="K170" s="345"/>
      <c r="S170" s="437"/>
    </row>
    <row r="171" ht="15.75" customHeight="1">
      <c r="K171" s="345"/>
      <c r="S171" s="437"/>
    </row>
    <row r="172" ht="15.75" customHeight="1">
      <c r="K172" s="345"/>
      <c r="S172" s="437"/>
    </row>
    <row r="173" ht="15.75" customHeight="1">
      <c r="K173" s="345"/>
      <c r="S173" s="437"/>
    </row>
    <row r="174" ht="15.75" customHeight="1">
      <c r="K174" s="345"/>
      <c r="S174" s="437"/>
    </row>
    <row r="175" ht="15.75" customHeight="1">
      <c r="K175" s="345"/>
      <c r="S175" s="437"/>
    </row>
    <row r="176" ht="15.75" customHeight="1">
      <c r="K176" s="345"/>
      <c r="S176" s="437"/>
    </row>
    <row r="177" ht="15.75" customHeight="1">
      <c r="K177" s="345"/>
      <c r="S177" s="437"/>
    </row>
    <row r="178" ht="15.75" customHeight="1">
      <c r="K178" s="345"/>
      <c r="S178" s="437"/>
    </row>
    <row r="179" ht="15.75" customHeight="1">
      <c r="K179" s="345"/>
      <c r="S179" s="437"/>
    </row>
    <row r="180" ht="15.75" customHeight="1">
      <c r="K180" s="345"/>
      <c r="S180" s="437"/>
    </row>
    <row r="181" ht="15.75" customHeight="1">
      <c r="K181" s="345"/>
      <c r="S181" s="437"/>
    </row>
    <row r="182" ht="15.75" customHeight="1">
      <c r="K182" s="345"/>
      <c r="S182" s="437"/>
    </row>
    <row r="183" ht="15.75" customHeight="1">
      <c r="K183" s="345"/>
      <c r="S183" s="437"/>
    </row>
    <row r="184" ht="15.75" customHeight="1">
      <c r="K184" s="345"/>
      <c r="S184" s="437"/>
    </row>
    <row r="185" ht="15.75" customHeight="1">
      <c r="K185" s="345"/>
      <c r="S185" s="437"/>
    </row>
    <row r="186" ht="15.75" customHeight="1">
      <c r="K186" s="345"/>
      <c r="S186" s="437"/>
    </row>
    <row r="187" ht="15.75" customHeight="1">
      <c r="K187" s="345"/>
      <c r="S187" s="437"/>
    </row>
    <row r="188" ht="15.75" customHeight="1">
      <c r="K188" s="345"/>
      <c r="S188" s="437"/>
    </row>
    <row r="189" ht="15.75" customHeight="1">
      <c r="K189" s="345"/>
      <c r="S189" s="437"/>
    </row>
    <row r="190" ht="15.75" customHeight="1">
      <c r="K190" s="345"/>
      <c r="S190" s="437"/>
    </row>
    <row r="191" ht="15.75" customHeight="1">
      <c r="K191" s="345"/>
      <c r="S191" s="437"/>
    </row>
    <row r="192" ht="15.75" customHeight="1">
      <c r="K192" s="345"/>
      <c r="S192" s="437"/>
    </row>
    <row r="193" ht="15.75" customHeight="1">
      <c r="K193" s="345"/>
      <c r="S193" s="437"/>
    </row>
    <row r="194" ht="15.75" customHeight="1">
      <c r="K194" s="345"/>
      <c r="S194" s="437"/>
    </row>
    <row r="195" ht="15.75" customHeight="1">
      <c r="K195" s="345"/>
      <c r="S195" s="437"/>
    </row>
    <row r="196" ht="15.75" customHeight="1">
      <c r="K196" s="345"/>
      <c r="S196" s="437"/>
    </row>
    <row r="197" ht="15.75" customHeight="1">
      <c r="K197" s="345"/>
      <c r="S197" s="437"/>
    </row>
    <row r="198" ht="15.75" customHeight="1">
      <c r="K198" s="345"/>
      <c r="S198" s="437"/>
    </row>
    <row r="199" ht="15.75" customHeight="1">
      <c r="K199" s="345"/>
      <c r="S199" s="437"/>
    </row>
    <row r="200" ht="15.75" customHeight="1">
      <c r="K200" s="345"/>
      <c r="S200" s="437"/>
    </row>
    <row r="201" ht="15.75" customHeight="1">
      <c r="K201" s="345"/>
      <c r="S201" s="437"/>
    </row>
    <row r="202" ht="15.75" customHeight="1">
      <c r="K202" s="345"/>
      <c r="S202" s="437"/>
    </row>
    <row r="203" ht="15.75" customHeight="1">
      <c r="K203" s="345"/>
      <c r="S203" s="437"/>
    </row>
    <row r="204" ht="15.75" customHeight="1">
      <c r="K204" s="345"/>
      <c r="S204" s="437"/>
    </row>
    <row r="205" ht="15.75" customHeight="1">
      <c r="K205" s="345"/>
      <c r="S205" s="437"/>
    </row>
    <row r="206" ht="15.75" customHeight="1">
      <c r="K206" s="345"/>
      <c r="S206" s="437"/>
    </row>
    <row r="207" ht="15.75" customHeight="1">
      <c r="K207" s="345"/>
      <c r="S207" s="437"/>
    </row>
    <row r="208" ht="15.75" customHeight="1">
      <c r="K208" s="345"/>
      <c r="S208" s="437"/>
    </row>
    <row r="209" ht="15.75" customHeight="1">
      <c r="K209" s="345"/>
      <c r="S209" s="437"/>
    </row>
    <row r="210" ht="15.75" customHeight="1">
      <c r="K210" s="345"/>
      <c r="S210" s="437"/>
    </row>
    <row r="211" ht="15.75" customHeight="1">
      <c r="K211" s="345"/>
      <c r="S211" s="437"/>
    </row>
    <row r="212" ht="15.75" customHeight="1">
      <c r="K212" s="345"/>
      <c r="S212" s="437"/>
    </row>
    <row r="213" ht="15.75" customHeight="1">
      <c r="K213" s="345"/>
      <c r="S213" s="437"/>
    </row>
    <row r="214" ht="15.75" customHeight="1">
      <c r="K214" s="345"/>
      <c r="S214" s="437"/>
    </row>
    <row r="215" ht="15.75" customHeight="1">
      <c r="K215" s="345"/>
      <c r="S215" s="437"/>
    </row>
    <row r="216" ht="15.75" customHeight="1">
      <c r="K216" s="345"/>
      <c r="S216" s="437"/>
    </row>
    <row r="217" ht="15.75" customHeight="1">
      <c r="K217" s="345"/>
      <c r="S217" s="437"/>
    </row>
    <row r="218" ht="15.75" customHeight="1">
      <c r="K218" s="345"/>
      <c r="S218" s="437"/>
    </row>
    <row r="219" ht="15.75" customHeight="1">
      <c r="K219" s="345"/>
      <c r="S219" s="437"/>
    </row>
    <row r="220" ht="15.75" customHeight="1">
      <c r="K220" s="345"/>
      <c r="S220" s="437"/>
    </row>
    <row r="221" ht="15.75" customHeight="1">
      <c r="K221" s="345"/>
      <c r="S221" s="437"/>
    </row>
    <row r="222" ht="15.75" customHeight="1">
      <c r="K222" s="345"/>
      <c r="S222" s="437"/>
    </row>
    <row r="223" ht="15.75" customHeight="1">
      <c r="K223" s="345"/>
      <c r="S223" s="437"/>
    </row>
    <row r="224" ht="15.75" customHeight="1">
      <c r="K224" s="345"/>
      <c r="S224" s="437"/>
    </row>
    <row r="225" ht="15.75" customHeight="1">
      <c r="K225" s="345"/>
      <c r="S225" s="437"/>
    </row>
    <row r="226" ht="15.75" customHeight="1">
      <c r="K226" s="345"/>
      <c r="S226" s="437"/>
    </row>
    <row r="227" ht="15.75" customHeight="1">
      <c r="K227" s="345"/>
      <c r="S227" s="437"/>
    </row>
    <row r="228" ht="15.75" customHeight="1">
      <c r="K228" s="345"/>
      <c r="S228" s="437"/>
    </row>
    <row r="229" ht="15.75" customHeight="1">
      <c r="K229" s="345"/>
      <c r="S229" s="437"/>
    </row>
    <row r="230" ht="15.75" customHeight="1">
      <c r="K230" s="345"/>
      <c r="S230" s="437"/>
    </row>
    <row r="231" ht="15.75" customHeight="1">
      <c r="K231" s="345"/>
      <c r="S231" s="437"/>
    </row>
    <row r="232" ht="15.75" customHeight="1">
      <c r="K232" s="345"/>
      <c r="S232" s="437"/>
    </row>
    <row r="233" ht="15.75" customHeight="1">
      <c r="K233" s="345"/>
      <c r="S233" s="437"/>
    </row>
    <row r="234" ht="15.75" customHeight="1">
      <c r="K234" s="345"/>
      <c r="S234" s="437"/>
    </row>
    <row r="235" ht="15.75" customHeight="1">
      <c r="K235" s="345"/>
      <c r="S235" s="437"/>
    </row>
    <row r="236" ht="15.75" customHeight="1">
      <c r="K236" s="345"/>
      <c r="S236" s="437"/>
    </row>
    <row r="237" ht="15.75" customHeight="1">
      <c r="K237" s="345"/>
      <c r="S237" s="437"/>
    </row>
    <row r="238" ht="15.75" customHeight="1">
      <c r="K238" s="345"/>
      <c r="S238" s="437"/>
    </row>
    <row r="239" ht="15.75" customHeight="1">
      <c r="K239" s="345"/>
      <c r="S239" s="437"/>
    </row>
    <row r="240" ht="15.75" customHeight="1">
      <c r="K240" s="345"/>
      <c r="S240" s="437"/>
    </row>
    <row r="241" ht="15.75" customHeight="1">
      <c r="K241" s="345"/>
      <c r="S241" s="437"/>
    </row>
    <row r="242" ht="15.75" customHeight="1">
      <c r="K242" s="345"/>
      <c r="S242" s="437"/>
    </row>
    <row r="243" ht="15.75" customHeight="1">
      <c r="K243" s="345"/>
      <c r="S243" s="437"/>
    </row>
    <row r="244" ht="15.75" customHeight="1">
      <c r="K244" s="345"/>
      <c r="S244" s="437"/>
    </row>
    <row r="245" ht="15.75" customHeight="1">
      <c r="K245" s="345"/>
      <c r="S245" s="437"/>
    </row>
    <row r="246" ht="15.75" customHeight="1">
      <c r="K246" s="345"/>
      <c r="S246" s="437"/>
    </row>
    <row r="247" ht="15.75" customHeight="1">
      <c r="K247" s="345"/>
      <c r="S247" s="437"/>
    </row>
    <row r="248" ht="15.75" customHeight="1">
      <c r="K248" s="345"/>
      <c r="S248" s="437"/>
    </row>
    <row r="249" ht="15.75" customHeight="1">
      <c r="K249" s="345"/>
      <c r="S249" s="437"/>
    </row>
    <row r="250" ht="15.75" customHeight="1">
      <c r="K250" s="345"/>
      <c r="S250" s="437"/>
    </row>
    <row r="251" ht="15.75" customHeight="1">
      <c r="K251" s="345"/>
      <c r="S251" s="437"/>
    </row>
    <row r="252" ht="15.75" customHeight="1">
      <c r="K252" s="345"/>
      <c r="S252" s="437"/>
    </row>
    <row r="253" ht="15.75" customHeight="1">
      <c r="K253" s="345"/>
      <c r="S253" s="437"/>
    </row>
    <row r="254" ht="15.75" customHeight="1">
      <c r="K254" s="345"/>
      <c r="S254" s="437"/>
    </row>
    <row r="255" ht="15.75" customHeight="1">
      <c r="K255" s="345"/>
      <c r="S255" s="437"/>
    </row>
    <row r="256" ht="15.75" customHeight="1">
      <c r="K256" s="345"/>
      <c r="S256" s="437"/>
    </row>
    <row r="257" ht="15.75" customHeight="1">
      <c r="K257" s="345"/>
      <c r="S257" s="437"/>
    </row>
    <row r="258" ht="15.75" customHeight="1">
      <c r="K258" s="345"/>
      <c r="S258" s="437"/>
    </row>
    <row r="259" ht="15.75" customHeight="1">
      <c r="K259" s="345"/>
      <c r="S259" s="437"/>
    </row>
    <row r="260" ht="15.75" customHeight="1">
      <c r="K260" s="345"/>
      <c r="S260" s="437"/>
    </row>
    <row r="261" ht="15.75" customHeight="1">
      <c r="K261" s="345"/>
      <c r="S261" s="437"/>
    </row>
    <row r="262" ht="15.75" customHeight="1">
      <c r="K262" s="345"/>
      <c r="S262" s="437"/>
    </row>
    <row r="263" ht="15.75" customHeight="1">
      <c r="K263" s="345"/>
      <c r="S263" s="437"/>
    </row>
    <row r="264" ht="15.75" customHeight="1">
      <c r="K264" s="345"/>
      <c r="S264" s="437"/>
    </row>
    <row r="265" ht="15.75" customHeight="1">
      <c r="K265" s="345"/>
      <c r="S265" s="437"/>
    </row>
    <row r="266" ht="15.75" customHeight="1">
      <c r="K266" s="345"/>
      <c r="S266" s="437"/>
    </row>
    <row r="267" ht="15.75" customHeight="1">
      <c r="K267" s="345"/>
      <c r="S267" s="437"/>
    </row>
    <row r="268" ht="15.75" customHeight="1">
      <c r="K268" s="345"/>
      <c r="S268" s="437"/>
    </row>
    <row r="269" ht="15.75" customHeight="1">
      <c r="K269" s="345"/>
      <c r="S269" s="437"/>
    </row>
    <row r="270" ht="15.75" customHeight="1">
      <c r="K270" s="345"/>
      <c r="S270" s="437"/>
    </row>
    <row r="271" ht="15.75" customHeight="1">
      <c r="K271" s="345"/>
      <c r="S271" s="437"/>
    </row>
    <row r="272" ht="15.75" customHeight="1">
      <c r="K272" s="345"/>
      <c r="S272" s="437"/>
    </row>
    <row r="273" ht="15.75" customHeight="1">
      <c r="K273" s="345"/>
      <c r="S273" s="437"/>
    </row>
    <row r="274" ht="15.75" customHeight="1">
      <c r="K274" s="345"/>
      <c r="S274" s="437"/>
    </row>
    <row r="275" ht="15.75" customHeight="1">
      <c r="K275" s="345"/>
      <c r="S275" s="437"/>
    </row>
    <row r="276" ht="15.75" customHeight="1">
      <c r="K276" s="345"/>
      <c r="S276" s="437"/>
    </row>
    <row r="277" ht="15.75" customHeight="1">
      <c r="K277" s="345"/>
      <c r="S277" s="437"/>
    </row>
    <row r="278" ht="15.75" customHeight="1">
      <c r="K278" s="345"/>
      <c r="S278" s="437"/>
    </row>
    <row r="279" ht="15.75" customHeight="1">
      <c r="K279" s="345"/>
      <c r="S279" s="437"/>
    </row>
    <row r="280" ht="15.75" customHeight="1">
      <c r="K280" s="345"/>
      <c r="S280" s="437"/>
    </row>
    <row r="281" ht="15.75" customHeight="1">
      <c r="K281" s="345"/>
      <c r="S281" s="437"/>
    </row>
    <row r="282" ht="15.75" customHeight="1">
      <c r="K282" s="345"/>
      <c r="S282" s="437"/>
    </row>
    <row r="283" ht="15.75" customHeight="1">
      <c r="K283" s="345"/>
      <c r="S283" s="437"/>
    </row>
    <row r="284" ht="15.75" customHeight="1">
      <c r="K284" s="345"/>
      <c r="S284" s="437"/>
    </row>
    <row r="285" ht="15.75" customHeight="1">
      <c r="K285" s="345"/>
      <c r="S285" s="437"/>
    </row>
    <row r="286" ht="15.75" customHeight="1">
      <c r="K286" s="345"/>
      <c r="S286" s="437"/>
    </row>
    <row r="287" ht="15.75" customHeight="1">
      <c r="K287" s="345"/>
      <c r="S287" s="437"/>
    </row>
    <row r="288" ht="15.75" customHeight="1">
      <c r="K288" s="345"/>
      <c r="S288" s="437"/>
    </row>
    <row r="289" ht="15.75" customHeight="1">
      <c r="K289" s="345"/>
      <c r="S289" s="437"/>
    </row>
    <row r="290" ht="15.75" customHeight="1">
      <c r="K290" s="345"/>
      <c r="S290" s="437"/>
    </row>
    <row r="291" ht="15.75" customHeight="1">
      <c r="K291" s="345"/>
      <c r="S291" s="437"/>
    </row>
    <row r="292" ht="15.75" customHeight="1">
      <c r="K292" s="345"/>
      <c r="S292" s="437"/>
    </row>
    <row r="293" ht="15.75" customHeight="1">
      <c r="K293" s="345"/>
      <c r="S293" s="437"/>
    </row>
    <row r="294" ht="15.75" customHeight="1">
      <c r="K294" s="345"/>
      <c r="S294" s="437"/>
    </row>
    <row r="295" ht="15.75" customHeight="1">
      <c r="K295" s="345"/>
      <c r="S295" s="437"/>
    </row>
    <row r="296" ht="15.75" customHeight="1">
      <c r="K296" s="345"/>
      <c r="S296" s="437"/>
    </row>
    <row r="297" ht="15.75" customHeight="1">
      <c r="K297" s="345"/>
      <c r="S297" s="437"/>
    </row>
    <row r="298" ht="15.75" customHeight="1">
      <c r="K298" s="345"/>
      <c r="S298" s="437"/>
    </row>
    <row r="299" ht="15.75" customHeight="1">
      <c r="K299" s="345"/>
      <c r="S299" s="437"/>
    </row>
    <row r="300" ht="15.75" customHeight="1">
      <c r="K300" s="345"/>
      <c r="S300" s="437"/>
    </row>
    <row r="301" ht="15.75" customHeight="1">
      <c r="K301" s="345"/>
      <c r="S301" s="437"/>
    </row>
    <row r="302" ht="15.75" customHeight="1">
      <c r="K302" s="345"/>
      <c r="S302" s="437"/>
    </row>
    <row r="303" ht="15.75" customHeight="1">
      <c r="K303" s="345"/>
      <c r="S303" s="437"/>
    </row>
    <row r="304" ht="15.75" customHeight="1">
      <c r="K304" s="345"/>
      <c r="S304" s="437"/>
    </row>
    <row r="305" ht="15.75" customHeight="1">
      <c r="K305" s="345"/>
      <c r="S305" s="437"/>
    </row>
    <row r="306" ht="15.75" customHeight="1">
      <c r="K306" s="345"/>
      <c r="S306" s="437"/>
    </row>
    <row r="307" ht="15.75" customHeight="1">
      <c r="K307" s="345"/>
      <c r="S307" s="437"/>
    </row>
    <row r="308" ht="15.75" customHeight="1">
      <c r="K308" s="345"/>
      <c r="S308" s="437"/>
    </row>
    <row r="309" ht="15.75" customHeight="1">
      <c r="K309" s="345"/>
      <c r="S309" s="437"/>
    </row>
    <row r="310" ht="15.75" customHeight="1">
      <c r="K310" s="345"/>
      <c r="S310" s="437"/>
    </row>
    <row r="311" ht="15.75" customHeight="1">
      <c r="K311" s="345"/>
      <c r="S311" s="437"/>
    </row>
    <row r="312" ht="15.75" customHeight="1">
      <c r="K312" s="345"/>
      <c r="S312" s="437"/>
    </row>
    <row r="313" ht="15.75" customHeight="1">
      <c r="K313" s="345"/>
      <c r="S313" s="437"/>
    </row>
    <row r="314" ht="15.75" customHeight="1">
      <c r="K314" s="345"/>
      <c r="S314" s="437"/>
    </row>
    <row r="315" ht="15.75" customHeight="1">
      <c r="K315" s="345"/>
      <c r="S315" s="437"/>
    </row>
    <row r="316" ht="15.75" customHeight="1">
      <c r="K316" s="345"/>
      <c r="S316" s="437"/>
    </row>
    <row r="317" ht="15.75" customHeight="1">
      <c r="K317" s="345"/>
      <c r="S317" s="437"/>
    </row>
    <row r="318" ht="15.75" customHeight="1">
      <c r="K318" s="345"/>
      <c r="S318" s="437"/>
    </row>
    <row r="319" ht="15.75" customHeight="1">
      <c r="K319" s="345"/>
      <c r="S319" s="437"/>
    </row>
    <row r="320" ht="15.75" customHeight="1">
      <c r="K320" s="345"/>
      <c r="S320" s="437"/>
    </row>
    <row r="321" ht="15.75" customHeight="1">
      <c r="K321" s="345"/>
      <c r="S321" s="437"/>
    </row>
    <row r="322" ht="15.75" customHeight="1">
      <c r="K322" s="345"/>
      <c r="S322" s="437"/>
    </row>
    <row r="323" ht="15.75" customHeight="1">
      <c r="K323" s="345"/>
      <c r="S323" s="437"/>
    </row>
    <row r="324" ht="15.75" customHeight="1">
      <c r="K324" s="345"/>
      <c r="S324" s="437"/>
    </row>
    <row r="325" ht="15.75" customHeight="1">
      <c r="K325" s="345"/>
      <c r="S325" s="437"/>
    </row>
    <row r="326" ht="15.75" customHeight="1">
      <c r="K326" s="345"/>
      <c r="S326" s="437"/>
    </row>
    <row r="327" ht="15.75" customHeight="1">
      <c r="K327" s="345"/>
      <c r="S327" s="437"/>
    </row>
    <row r="328" ht="15.75" customHeight="1">
      <c r="K328" s="345"/>
      <c r="S328" s="437"/>
    </row>
    <row r="329" ht="15.75" customHeight="1">
      <c r="K329" s="345"/>
      <c r="S329" s="437"/>
    </row>
    <row r="330" ht="15.75" customHeight="1">
      <c r="K330" s="345"/>
      <c r="S330" s="437"/>
    </row>
    <row r="331" ht="15.75" customHeight="1">
      <c r="K331" s="345"/>
      <c r="S331" s="437"/>
    </row>
    <row r="332" ht="15.75" customHeight="1">
      <c r="K332" s="345"/>
      <c r="S332" s="437"/>
    </row>
    <row r="333" ht="15.75" customHeight="1">
      <c r="K333" s="345"/>
      <c r="S333" s="437"/>
    </row>
    <row r="334" ht="15.75" customHeight="1">
      <c r="K334" s="345"/>
      <c r="S334" s="437"/>
    </row>
    <row r="335" ht="15.75" customHeight="1">
      <c r="K335" s="345"/>
      <c r="S335" s="437"/>
    </row>
    <row r="336" ht="15.75" customHeight="1">
      <c r="K336" s="345"/>
      <c r="S336" s="437"/>
    </row>
    <row r="337" ht="15.75" customHeight="1">
      <c r="K337" s="345"/>
      <c r="S337" s="437"/>
    </row>
    <row r="338" ht="15.75" customHeight="1">
      <c r="K338" s="345"/>
      <c r="S338" s="437"/>
    </row>
    <row r="339" ht="15.75" customHeight="1">
      <c r="K339" s="345"/>
      <c r="S339" s="437"/>
    </row>
    <row r="340" ht="15.75" customHeight="1">
      <c r="K340" s="345"/>
      <c r="S340" s="437"/>
    </row>
    <row r="341" ht="15.75" customHeight="1">
      <c r="K341" s="345"/>
      <c r="S341" s="437"/>
    </row>
    <row r="342" ht="15.75" customHeight="1">
      <c r="K342" s="345"/>
      <c r="S342" s="437"/>
    </row>
    <row r="343" ht="15.75" customHeight="1">
      <c r="K343" s="345"/>
      <c r="S343" s="437"/>
    </row>
    <row r="344" ht="15.75" customHeight="1">
      <c r="K344" s="345"/>
      <c r="S344" s="437"/>
    </row>
    <row r="345" ht="15.75" customHeight="1">
      <c r="K345" s="345"/>
      <c r="S345" s="437"/>
    </row>
    <row r="346" ht="15.75" customHeight="1">
      <c r="K346" s="345"/>
      <c r="S346" s="437"/>
    </row>
    <row r="347" ht="15.75" customHeight="1">
      <c r="K347" s="345"/>
      <c r="S347" s="437"/>
    </row>
    <row r="348" ht="15.75" customHeight="1">
      <c r="K348" s="345"/>
      <c r="S348" s="437"/>
    </row>
    <row r="349" ht="15.75" customHeight="1">
      <c r="K349" s="345"/>
      <c r="S349" s="437"/>
    </row>
    <row r="350" ht="15.75" customHeight="1">
      <c r="K350" s="345"/>
      <c r="S350" s="437"/>
    </row>
    <row r="351" ht="15.75" customHeight="1">
      <c r="K351" s="345"/>
      <c r="S351" s="437"/>
    </row>
    <row r="352" ht="15.75" customHeight="1">
      <c r="K352" s="345"/>
      <c r="S352" s="437"/>
    </row>
    <row r="353" ht="15.75" customHeight="1">
      <c r="K353" s="345"/>
      <c r="S353" s="437"/>
    </row>
    <row r="354" ht="15.75" customHeight="1">
      <c r="K354" s="345"/>
      <c r="S354" s="437"/>
    </row>
    <row r="355" ht="15.75" customHeight="1">
      <c r="K355" s="345"/>
      <c r="S355" s="437"/>
    </row>
    <row r="356" ht="15.75" customHeight="1">
      <c r="K356" s="345"/>
      <c r="S356" s="437"/>
    </row>
    <row r="357" ht="15.75" customHeight="1">
      <c r="K357" s="345"/>
      <c r="S357" s="437"/>
    </row>
    <row r="358" ht="15.75" customHeight="1">
      <c r="K358" s="345"/>
      <c r="S358" s="437"/>
    </row>
    <row r="359" ht="15.75" customHeight="1">
      <c r="K359" s="345"/>
      <c r="S359" s="437"/>
    </row>
    <row r="360" ht="15.75" customHeight="1">
      <c r="K360" s="345"/>
      <c r="S360" s="437"/>
    </row>
    <row r="361" ht="15.75" customHeight="1">
      <c r="K361" s="345"/>
      <c r="S361" s="437"/>
    </row>
    <row r="362" ht="15.75" customHeight="1">
      <c r="K362" s="345"/>
      <c r="S362" s="437"/>
    </row>
    <row r="363" ht="15.75" customHeight="1">
      <c r="K363" s="345"/>
      <c r="S363" s="437"/>
    </row>
    <row r="364" ht="15.75" customHeight="1">
      <c r="K364" s="345"/>
      <c r="S364" s="437"/>
    </row>
    <row r="365" ht="15.75" customHeight="1">
      <c r="K365" s="345"/>
      <c r="S365" s="437"/>
    </row>
    <row r="366" ht="15.75" customHeight="1">
      <c r="K366" s="345"/>
      <c r="S366" s="437"/>
    </row>
    <row r="367" ht="15.75" customHeight="1">
      <c r="K367" s="345"/>
      <c r="S367" s="437"/>
    </row>
    <row r="368" ht="15.75" customHeight="1">
      <c r="K368" s="345"/>
      <c r="S368" s="437"/>
    </row>
    <row r="369" ht="15.75" customHeight="1">
      <c r="K369" s="345"/>
      <c r="S369" s="437"/>
    </row>
    <row r="370" ht="15.75" customHeight="1">
      <c r="K370" s="345"/>
      <c r="S370" s="437"/>
    </row>
    <row r="371" ht="15.75" customHeight="1">
      <c r="K371" s="345"/>
      <c r="S371" s="437"/>
    </row>
    <row r="372" ht="15.75" customHeight="1">
      <c r="K372" s="345"/>
      <c r="S372" s="437"/>
    </row>
    <row r="373" ht="15.75" customHeight="1">
      <c r="K373" s="345"/>
      <c r="S373" s="437"/>
    </row>
    <row r="374" ht="15.75" customHeight="1">
      <c r="K374" s="345"/>
      <c r="S374" s="437"/>
    </row>
    <row r="375" ht="15.75" customHeight="1">
      <c r="K375" s="345"/>
      <c r="S375" s="437"/>
    </row>
    <row r="376" ht="15.75" customHeight="1">
      <c r="K376" s="345"/>
      <c r="S376" s="437"/>
    </row>
    <row r="377" ht="15.75" customHeight="1">
      <c r="K377" s="345"/>
      <c r="S377" s="437"/>
    </row>
    <row r="378" ht="15.75" customHeight="1">
      <c r="K378" s="345"/>
      <c r="S378" s="437"/>
    </row>
    <row r="379" ht="15.75" customHeight="1">
      <c r="K379" s="345"/>
      <c r="S379" s="437"/>
    </row>
    <row r="380" ht="15.75" customHeight="1">
      <c r="K380" s="345"/>
      <c r="S380" s="437"/>
    </row>
    <row r="381" ht="15.75" customHeight="1">
      <c r="K381" s="345"/>
      <c r="S381" s="437"/>
    </row>
    <row r="382" ht="15.75" customHeight="1">
      <c r="K382" s="345"/>
      <c r="S382" s="437"/>
    </row>
    <row r="383" ht="15.75" customHeight="1">
      <c r="K383" s="345"/>
      <c r="S383" s="437"/>
    </row>
    <row r="384" ht="15.75" customHeight="1">
      <c r="K384" s="345"/>
      <c r="S384" s="437"/>
    </row>
    <row r="385" ht="15.75" customHeight="1">
      <c r="K385" s="345"/>
      <c r="S385" s="437"/>
    </row>
    <row r="386" ht="15.75" customHeight="1">
      <c r="K386" s="345"/>
      <c r="S386" s="437"/>
    </row>
    <row r="387" ht="15.75" customHeight="1">
      <c r="K387" s="345"/>
      <c r="S387" s="437"/>
    </row>
    <row r="388" ht="15.75" customHeight="1">
      <c r="K388" s="345"/>
      <c r="S388" s="437"/>
    </row>
    <row r="389" ht="15.75" customHeight="1">
      <c r="K389" s="345"/>
      <c r="S389" s="437"/>
    </row>
    <row r="390" ht="15.75" customHeight="1">
      <c r="K390" s="345"/>
      <c r="S390" s="437"/>
    </row>
    <row r="391" ht="15.75" customHeight="1">
      <c r="K391" s="345"/>
      <c r="S391" s="437"/>
    </row>
    <row r="392" ht="15.75" customHeight="1">
      <c r="K392" s="345"/>
      <c r="S392" s="437"/>
    </row>
    <row r="393" ht="15.75" customHeight="1">
      <c r="K393" s="345"/>
      <c r="S393" s="437"/>
    </row>
    <row r="394" ht="15.75" customHeight="1">
      <c r="K394" s="345"/>
      <c r="S394" s="437"/>
    </row>
    <row r="395" ht="15.75" customHeight="1">
      <c r="K395" s="345"/>
      <c r="S395" s="437"/>
    </row>
    <row r="396" ht="15.75" customHeight="1">
      <c r="K396" s="345"/>
      <c r="S396" s="437"/>
    </row>
    <row r="397" ht="15.75" customHeight="1">
      <c r="K397" s="345"/>
      <c r="S397" s="437"/>
    </row>
    <row r="398" ht="15.75" customHeight="1">
      <c r="K398" s="345"/>
      <c r="S398" s="437"/>
    </row>
    <row r="399" ht="15.75" customHeight="1">
      <c r="K399" s="345"/>
      <c r="S399" s="437"/>
    </row>
    <row r="400" ht="15.75" customHeight="1">
      <c r="K400" s="345"/>
      <c r="S400" s="437"/>
    </row>
    <row r="401" ht="15.75" customHeight="1">
      <c r="K401" s="345"/>
      <c r="S401" s="437"/>
    </row>
    <row r="402" ht="15.75" customHeight="1">
      <c r="K402" s="345"/>
      <c r="S402" s="437"/>
    </row>
    <row r="403" ht="15.75" customHeight="1">
      <c r="K403" s="345"/>
      <c r="S403" s="437"/>
    </row>
    <row r="404" ht="15.75" customHeight="1">
      <c r="K404" s="345"/>
      <c r="S404" s="437"/>
    </row>
    <row r="405" ht="15.75" customHeight="1">
      <c r="K405" s="345"/>
      <c r="S405" s="437"/>
    </row>
    <row r="406" ht="15.75" customHeight="1">
      <c r="K406" s="345"/>
      <c r="S406" s="437"/>
    </row>
    <row r="407" ht="15.75" customHeight="1">
      <c r="K407" s="345"/>
      <c r="S407" s="437"/>
    </row>
    <row r="408" ht="15.75" customHeight="1">
      <c r="K408" s="345"/>
      <c r="S408" s="437"/>
    </row>
    <row r="409" ht="15.75" customHeight="1">
      <c r="K409" s="345"/>
      <c r="S409" s="437"/>
    </row>
    <row r="410" ht="15.75" customHeight="1">
      <c r="K410" s="345"/>
      <c r="S410" s="437"/>
    </row>
    <row r="411" ht="15.75" customHeight="1">
      <c r="K411" s="345"/>
      <c r="S411" s="437"/>
    </row>
    <row r="412" ht="15.75" customHeight="1">
      <c r="K412" s="345"/>
      <c r="S412" s="437"/>
    </row>
    <row r="413" ht="15.75" customHeight="1">
      <c r="K413" s="345"/>
      <c r="S413" s="437"/>
    </row>
    <row r="414" ht="15.75" customHeight="1">
      <c r="K414" s="345"/>
      <c r="S414" s="437"/>
    </row>
    <row r="415" ht="15.75" customHeight="1">
      <c r="K415" s="345"/>
      <c r="S415" s="437"/>
    </row>
    <row r="416" ht="15.75" customHeight="1">
      <c r="K416" s="345"/>
      <c r="S416" s="437"/>
    </row>
    <row r="417" ht="15.75" customHeight="1">
      <c r="K417" s="345"/>
      <c r="S417" s="437"/>
    </row>
    <row r="418" ht="15.75" customHeight="1">
      <c r="K418" s="345"/>
      <c r="S418" s="437"/>
    </row>
    <row r="419" ht="15.75" customHeight="1">
      <c r="K419" s="345"/>
      <c r="S419" s="437"/>
    </row>
    <row r="420" ht="15.75" customHeight="1">
      <c r="K420" s="345"/>
      <c r="S420" s="437"/>
    </row>
    <row r="421" ht="15.75" customHeight="1">
      <c r="K421" s="345"/>
      <c r="S421" s="437"/>
    </row>
    <row r="422" ht="15.75" customHeight="1">
      <c r="K422" s="345"/>
      <c r="S422" s="437"/>
    </row>
    <row r="423" ht="15.75" customHeight="1">
      <c r="K423" s="345"/>
      <c r="S423" s="437"/>
    </row>
    <row r="424" ht="15.75" customHeight="1">
      <c r="K424" s="345"/>
      <c r="S424" s="437"/>
    </row>
    <row r="425" ht="15.75" customHeight="1">
      <c r="K425" s="345"/>
      <c r="S425" s="437"/>
    </row>
    <row r="426" ht="15.75" customHeight="1">
      <c r="K426" s="345"/>
      <c r="S426" s="437"/>
    </row>
    <row r="427" ht="15.75" customHeight="1">
      <c r="K427" s="345"/>
      <c r="S427" s="437"/>
    </row>
    <row r="428" ht="15.75" customHeight="1">
      <c r="K428" s="345"/>
      <c r="S428" s="437"/>
    </row>
    <row r="429" ht="15.75" customHeight="1">
      <c r="K429" s="345"/>
      <c r="S429" s="437"/>
    </row>
    <row r="430" ht="15.75" customHeight="1">
      <c r="K430" s="345"/>
      <c r="S430" s="437"/>
    </row>
    <row r="431" ht="15.75" customHeight="1">
      <c r="K431" s="345"/>
      <c r="S431" s="437"/>
    </row>
    <row r="432" ht="15.75" customHeight="1">
      <c r="K432" s="345"/>
      <c r="S432" s="437"/>
    </row>
    <row r="433" ht="15.75" customHeight="1">
      <c r="K433" s="345"/>
      <c r="S433" s="437"/>
    </row>
    <row r="434" ht="15.75" customHeight="1">
      <c r="K434" s="345"/>
      <c r="S434" s="437"/>
    </row>
    <row r="435" ht="15.75" customHeight="1">
      <c r="K435" s="345"/>
      <c r="S435" s="437"/>
    </row>
    <row r="436" ht="15.75" customHeight="1">
      <c r="K436" s="345"/>
      <c r="S436" s="437"/>
    </row>
    <row r="437" ht="15.75" customHeight="1">
      <c r="K437" s="345"/>
      <c r="S437" s="437"/>
    </row>
    <row r="438" ht="15.75" customHeight="1">
      <c r="K438" s="345"/>
      <c r="S438" s="437"/>
    </row>
    <row r="439" ht="15.75" customHeight="1">
      <c r="K439" s="345"/>
      <c r="S439" s="437"/>
    </row>
    <row r="440" ht="15.75" customHeight="1">
      <c r="K440" s="345"/>
      <c r="S440" s="437"/>
    </row>
    <row r="441" ht="15.75" customHeight="1">
      <c r="K441" s="345"/>
      <c r="S441" s="437"/>
    </row>
    <row r="442" ht="15.75" customHeight="1">
      <c r="K442" s="345"/>
      <c r="S442" s="437"/>
    </row>
    <row r="443" ht="15.75" customHeight="1">
      <c r="K443" s="345"/>
      <c r="S443" s="437"/>
    </row>
    <row r="444" ht="15.75" customHeight="1">
      <c r="K444" s="345"/>
      <c r="S444" s="437"/>
    </row>
    <row r="445" ht="15.75" customHeight="1">
      <c r="K445" s="345"/>
      <c r="S445" s="437"/>
    </row>
    <row r="446" ht="15.75" customHeight="1">
      <c r="K446" s="345"/>
      <c r="S446" s="437"/>
    </row>
    <row r="447" ht="15.75" customHeight="1">
      <c r="K447" s="345"/>
      <c r="S447" s="437"/>
    </row>
    <row r="448" ht="15.75" customHeight="1">
      <c r="K448" s="345"/>
      <c r="S448" s="437"/>
    </row>
    <row r="449" ht="15.75" customHeight="1">
      <c r="K449" s="345"/>
      <c r="S449" s="437"/>
    </row>
    <row r="450" ht="15.75" customHeight="1">
      <c r="K450" s="345"/>
      <c r="S450" s="437"/>
    </row>
    <row r="451" ht="15.75" customHeight="1">
      <c r="K451" s="345"/>
      <c r="S451" s="437"/>
    </row>
    <row r="452" ht="15.75" customHeight="1">
      <c r="K452" s="345"/>
      <c r="S452" s="437"/>
    </row>
    <row r="453" ht="15.75" customHeight="1">
      <c r="K453" s="345"/>
      <c r="S453" s="437"/>
    </row>
    <row r="454" ht="15.75" customHeight="1">
      <c r="K454" s="345"/>
      <c r="S454" s="437"/>
    </row>
    <row r="455" ht="15.75" customHeight="1">
      <c r="K455" s="345"/>
      <c r="S455" s="437"/>
    </row>
    <row r="456" ht="15.75" customHeight="1">
      <c r="K456" s="345"/>
      <c r="S456" s="437"/>
    </row>
    <row r="457" ht="15.75" customHeight="1">
      <c r="K457" s="345"/>
      <c r="S457" s="437"/>
    </row>
    <row r="458" ht="15.75" customHeight="1">
      <c r="K458" s="345"/>
      <c r="S458" s="437"/>
    </row>
    <row r="459" ht="15.75" customHeight="1">
      <c r="K459" s="345"/>
      <c r="S459" s="437"/>
    </row>
    <row r="460" ht="15.75" customHeight="1">
      <c r="K460" s="345"/>
      <c r="S460" s="437"/>
    </row>
    <row r="461" ht="15.75" customHeight="1">
      <c r="K461" s="345"/>
      <c r="S461" s="437"/>
    </row>
    <row r="462" ht="15.75" customHeight="1">
      <c r="K462" s="345"/>
      <c r="S462" s="437"/>
    </row>
    <row r="463" ht="15.75" customHeight="1">
      <c r="K463" s="345"/>
      <c r="S463" s="437"/>
    </row>
    <row r="464" ht="15.75" customHeight="1">
      <c r="K464" s="345"/>
      <c r="S464" s="437"/>
    </row>
    <row r="465" ht="15.75" customHeight="1">
      <c r="K465" s="345"/>
      <c r="S465" s="437"/>
    </row>
    <row r="466" ht="15.75" customHeight="1">
      <c r="K466" s="345"/>
      <c r="S466" s="437"/>
    </row>
    <row r="467" ht="15.75" customHeight="1">
      <c r="K467" s="345"/>
      <c r="S467" s="437"/>
    </row>
    <row r="468" ht="15.75" customHeight="1">
      <c r="K468" s="345"/>
      <c r="S468" s="437"/>
    </row>
    <row r="469" ht="15.75" customHeight="1">
      <c r="K469" s="345"/>
      <c r="S469" s="437"/>
    </row>
    <row r="470" ht="15.75" customHeight="1">
      <c r="K470" s="345"/>
      <c r="S470" s="437"/>
    </row>
    <row r="471" ht="15.75" customHeight="1">
      <c r="K471" s="345"/>
      <c r="S471" s="437"/>
    </row>
    <row r="472" ht="15.75" customHeight="1">
      <c r="K472" s="345"/>
      <c r="S472" s="437"/>
    </row>
    <row r="473" ht="15.75" customHeight="1">
      <c r="K473" s="345"/>
      <c r="S473" s="437"/>
    </row>
    <row r="474" ht="15.75" customHeight="1">
      <c r="K474" s="345"/>
      <c r="S474" s="437"/>
    </row>
    <row r="475" ht="15.75" customHeight="1">
      <c r="K475" s="345"/>
      <c r="S475" s="437"/>
    </row>
    <row r="476" ht="15.75" customHeight="1">
      <c r="K476" s="345"/>
      <c r="S476" s="437"/>
    </row>
    <row r="477" ht="15.75" customHeight="1">
      <c r="K477" s="345"/>
      <c r="S477" s="437"/>
    </row>
    <row r="478" ht="15.75" customHeight="1">
      <c r="K478" s="345"/>
      <c r="S478" s="437"/>
    </row>
    <row r="479" ht="15.75" customHeight="1">
      <c r="K479" s="345"/>
      <c r="S479" s="437"/>
    </row>
    <row r="480" ht="15.75" customHeight="1">
      <c r="K480" s="345"/>
      <c r="S480" s="437"/>
    </row>
    <row r="481" ht="15.75" customHeight="1">
      <c r="K481" s="345"/>
      <c r="S481" s="437"/>
    </row>
    <row r="482" ht="15.75" customHeight="1">
      <c r="K482" s="345"/>
      <c r="S482" s="437"/>
    </row>
    <row r="483" ht="15.75" customHeight="1">
      <c r="K483" s="345"/>
      <c r="S483" s="437"/>
    </row>
    <row r="484" ht="15.75" customHeight="1">
      <c r="K484" s="345"/>
      <c r="S484" s="437"/>
    </row>
    <row r="485" ht="15.75" customHeight="1">
      <c r="K485" s="345"/>
      <c r="S485" s="437"/>
    </row>
    <row r="486" ht="15.75" customHeight="1">
      <c r="K486" s="345"/>
      <c r="S486" s="437"/>
    </row>
    <row r="487" ht="15.75" customHeight="1">
      <c r="K487" s="345"/>
      <c r="S487" s="437"/>
    </row>
    <row r="488" ht="15.75" customHeight="1">
      <c r="K488" s="345"/>
      <c r="S488" s="437"/>
    </row>
    <row r="489" ht="15.75" customHeight="1">
      <c r="K489" s="345"/>
      <c r="S489" s="437"/>
    </row>
    <row r="490" ht="15.75" customHeight="1">
      <c r="K490" s="345"/>
      <c r="S490" s="437"/>
    </row>
    <row r="491" ht="15.75" customHeight="1">
      <c r="K491" s="345"/>
      <c r="S491" s="437"/>
    </row>
    <row r="492" ht="15.75" customHeight="1">
      <c r="K492" s="345"/>
      <c r="S492" s="437"/>
    </row>
    <row r="493" ht="15.75" customHeight="1">
      <c r="K493" s="345"/>
      <c r="S493" s="437"/>
    </row>
    <row r="494" ht="15.75" customHeight="1">
      <c r="K494" s="345"/>
      <c r="S494" s="437"/>
    </row>
    <row r="495" ht="15.75" customHeight="1">
      <c r="K495" s="345"/>
      <c r="S495" s="437"/>
    </row>
    <row r="496" ht="15.75" customHeight="1">
      <c r="K496" s="345"/>
      <c r="S496" s="437"/>
    </row>
    <row r="497" ht="15.75" customHeight="1">
      <c r="K497" s="345"/>
      <c r="S497" s="437"/>
    </row>
    <row r="498" ht="15.75" customHeight="1">
      <c r="K498" s="345"/>
      <c r="S498" s="437"/>
    </row>
    <row r="499" ht="15.75" customHeight="1">
      <c r="K499" s="345"/>
      <c r="S499" s="437"/>
    </row>
    <row r="500" ht="15.75" customHeight="1">
      <c r="K500" s="345"/>
      <c r="S500" s="437"/>
    </row>
    <row r="501" ht="15.75" customHeight="1">
      <c r="K501" s="345"/>
      <c r="S501" s="437"/>
    </row>
    <row r="502" ht="15.75" customHeight="1">
      <c r="K502" s="345"/>
      <c r="S502" s="437"/>
    </row>
    <row r="503" ht="15.75" customHeight="1">
      <c r="K503" s="345"/>
      <c r="S503" s="437"/>
    </row>
    <row r="504" ht="15.75" customHeight="1">
      <c r="K504" s="345"/>
      <c r="S504" s="437"/>
    </row>
    <row r="505" ht="15.75" customHeight="1">
      <c r="K505" s="345"/>
      <c r="S505" s="437"/>
    </row>
    <row r="506" ht="15.75" customHeight="1">
      <c r="K506" s="345"/>
      <c r="S506" s="437"/>
    </row>
    <row r="507" ht="15.75" customHeight="1">
      <c r="K507" s="345"/>
      <c r="S507" s="437"/>
    </row>
    <row r="508" ht="15.75" customHeight="1">
      <c r="K508" s="345"/>
      <c r="S508" s="437"/>
    </row>
    <row r="509" ht="15.75" customHeight="1">
      <c r="K509" s="345"/>
      <c r="S509" s="437"/>
    </row>
    <row r="510" ht="15.75" customHeight="1">
      <c r="K510" s="345"/>
      <c r="S510" s="437"/>
    </row>
    <row r="511" ht="15.75" customHeight="1">
      <c r="K511" s="345"/>
      <c r="S511" s="437"/>
    </row>
    <row r="512" ht="15.75" customHeight="1">
      <c r="K512" s="345"/>
      <c r="S512" s="437"/>
    </row>
    <row r="513" ht="15.75" customHeight="1">
      <c r="K513" s="345"/>
      <c r="S513" s="437"/>
    </row>
    <row r="514" ht="15.75" customHeight="1">
      <c r="K514" s="345"/>
      <c r="S514" s="437"/>
    </row>
    <row r="515" ht="15.75" customHeight="1">
      <c r="K515" s="345"/>
      <c r="S515" s="437"/>
    </row>
    <row r="516" ht="15.75" customHeight="1">
      <c r="K516" s="345"/>
      <c r="S516" s="437"/>
    </row>
    <row r="517" ht="15.75" customHeight="1">
      <c r="K517" s="345"/>
      <c r="S517" s="437"/>
    </row>
    <row r="518" ht="15.75" customHeight="1">
      <c r="K518" s="345"/>
      <c r="S518" s="437"/>
    </row>
    <row r="519" ht="15.75" customHeight="1">
      <c r="K519" s="345"/>
      <c r="S519" s="437"/>
    </row>
    <row r="520" ht="15.75" customHeight="1">
      <c r="K520" s="345"/>
      <c r="S520" s="437"/>
    </row>
    <row r="521" ht="15.75" customHeight="1">
      <c r="K521" s="345"/>
      <c r="S521" s="437"/>
    </row>
    <row r="522" ht="15.75" customHeight="1">
      <c r="K522" s="345"/>
      <c r="S522" s="437"/>
    </row>
    <row r="523" ht="15.75" customHeight="1">
      <c r="K523" s="345"/>
      <c r="S523" s="437"/>
    </row>
    <row r="524" ht="15.75" customHeight="1">
      <c r="K524" s="345"/>
      <c r="S524" s="437"/>
    </row>
    <row r="525" ht="15.75" customHeight="1">
      <c r="K525" s="345"/>
      <c r="S525" s="437"/>
    </row>
    <row r="526" ht="15.75" customHeight="1">
      <c r="K526" s="345"/>
      <c r="S526" s="437"/>
    </row>
    <row r="527" ht="15.75" customHeight="1">
      <c r="K527" s="345"/>
      <c r="S527" s="437"/>
    </row>
    <row r="528" ht="15.75" customHeight="1">
      <c r="K528" s="345"/>
      <c r="S528" s="437"/>
    </row>
    <row r="529" ht="15.75" customHeight="1">
      <c r="K529" s="345"/>
      <c r="S529" s="437"/>
    </row>
    <row r="530" ht="15.75" customHeight="1">
      <c r="K530" s="345"/>
      <c r="S530" s="437"/>
    </row>
    <row r="531" ht="15.75" customHeight="1">
      <c r="K531" s="345"/>
      <c r="S531" s="437"/>
    </row>
    <row r="532" ht="15.75" customHeight="1">
      <c r="K532" s="345"/>
      <c r="S532" s="437"/>
    </row>
    <row r="533" ht="15.75" customHeight="1">
      <c r="K533" s="345"/>
      <c r="S533" s="437"/>
    </row>
    <row r="534" ht="15.75" customHeight="1">
      <c r="K534" s="345"/>
      <c r="S534" s="437"/>
    </row>
    <row r="535" ht="15.75" customHeight="1">
      <c r="K535" s="345"/>
      <c r="S535" s="437"/>
    </row>
    <row r="536" ht="15.75" customHeight="1">
      <c r="K536" s="345"/>
      <c r="S536" s="437"/>
    </row>
    <row r="537" ht="15.75" customHeight="1">
      <c r="K537" s="345"/>
      <c r="S537" s="437"/>
    </row>
    <row r="538" ht="15.75" customHeight="1">
      <c r="K538" s="345"/>
      <c r="S538" s="437"/>
    </row>
    <row r="539" ht="15.75" customHeight="1">
      <c r="K539" s="345"/>
      <c r="S539" s="437"/>
    </row>
    <row r="540" ht="15.75" customHeight="1">
      <c r="K540" s="345"/>
      <c r="S540" s="437"/>
    </row>
    <row r="541" ht="15.75" customHeight="1">
      <c r="K541" s="345"/>
      <c r="S541" s="437"/>
    </row>
    <row r="542" ht="15.75" customHeight="1">
      <c r="K542" s="345"/>
      <c r="S542" s="437"/>
    </row>
    <row r="543" ht="15.75" customHeight="1">
      <c r="K543" s="345"/>
      <c r="S543" s="437"/>
    </row>
    <row r="544" ht="15.75" customHeight="1">
      <c r="K544" s="345"/>
      <c r="S544" s="437"/>
    </row>
    <row r="545" ht="15.75" customHeight="1">
      <c r="K545" s="345"/>
      <c r="S545" s="437"/>
    </row>
    <row r="546" ht="15.75" customHeight="1">
      <c r="K546" s="345"/>
      <c r="S546" s="437"/>
    </row>
    <row r="547" ht="15.75" customHeight="1">
      <c r="K547" s="345"/>
      <c r="S547" s="437"/>
    </row>
    <row r="548" ht="15.75" customHeight="1">
      <c r="K548" s="345"/>
      <c r="S548" s="437"/>
    </row>
    <row r="549" ht="15.75" customHeight="1">
      <c r="K549" s="345"/>
      <c r="S549" s="437"/>
    </row>
    <row r="550" ht="15.75" customHeight="1">
      <c r="K550" s="345"/>
      <c r="S550" s="437"/>
    </row>
    <row r="551" ht="15.75" customHeight="1">
      <c r="K551" s="345"/>
      <c r="S551" s="437"/>
    </row>
    <row r="552" ht="15.75" customHeight="1">
      <c r="K552" s="345"/>
      <c r="S552" s="437"/>
    </row>
    <row r="553" ht="15.75" customHeight="1">
      <c r="K553" s="345"/>
      <c r="S553" s="437"/>
    </row>
    <row r="554" ht="15.75" customHeight="1">
      <c r="K554" s="345"/>
      <c r="S554" s="437"/>
    </row>
    <row r="555" ht="15.75" customHeight="1">
      <c r="K555" s="345"/>
      <c r="S555" s="437"/>
    </row>
    <row r="556" ht="15.75" customHeight="1">
      <c r="K556" s="345"/>
      <c r="S556" s="437"/>
    </row>
    <row r="557" ht="15.75" customHeight="1">
      <c r="K557" s="345"/>
      <c r="S557" s="437"/>
    </row>
    <row r="558" ht="15.75" customHeight="1">
      <c r="K558" s="345"/>
      <c r="S558" s="437"/>
    </row>
    <row r="559" ht="15.75" customHeight="1">
      <c r="K559" s="345"/>
      <c r="S559" s="437"/>
    </row>
    <row r="560" ht="15.75" customHeight="1">
      <c r="K560" s="345"/>
      <c r="S560" s="437"/>
    </row>
    <row r="561" ht="15.75" customHeight="1">
      <c r="K561" s="345"/>
      <c r="S561" s="437"/>
    </row>
    <row r="562" ht="15.75" customHeight="1">
      <c r="K562" s="345"/>
      <c r="S562" s="437"/>
    </row>
    <row r="563" ht="15.75" customHeight="1">
      <c r="K563" s="345"/>
      <c r="S563" s="437"/>
    </row>
    <row r="564" ht="15.75" customHeight="1">
      <c r="K564" s="345"/>
      <c r="S564" s="437"/>
    </row>
    <row r="565" ht="15.75" customHeight="1">
      <c r="K565" s="345"/>
      <c r="S565" s="437"/>
    </row>
    <row r="566" ht="15.75" customHeight="1">
      <c r="K566" s="345"/>
      <c r="S566" s="437"/>
    </row>
    <row r="567" ht="15.75" customHeight="1">
      <c r="K567" s="345"/>
      <c r="S567" s="437"/>
    </row>
    <row r="568" ht="15.75" customHeight="1">
      <c r="K568" s="345"/>
      <c r="S568" s="437"/>
    </row>
    <row r="569" ht="15.75" customHeight="1">
      <c r="K569" s="345"/>
      <c r="S569" s="437"/>
    </row>
    <row r="570" ht="15.75" customHeight="1">
      <c r="K570" s="345"/>
      <c r="S570" s="437"/>
    </row>
    <row r="571" ht="15.75" customHeight="1">
      <c r="K571" s="345"/>
      <c r="S571" s="437"/>
    </row>
    <row r="572" ht="15.75" customHeight="1">
      <c r="K572" s="345"/>
      <c r="S572" s="437"/>
    </row>
    <row r="573" ht="15.75" customHeight="1">
      <c r="K573" s="345"/>
      <c r="S573" s="437"/>
    </row>
    <row r="574" ht="15.75" customHeight="1">
      <c r="K574" s="345"/>
      <c r="S574" s="437"/>
    </row>
    <row r="575" ht="15.75" customHeight="1">
      <c r="K575" s="345"/>
      <c r="S575" s="437"/>
    </row>
    <row r="576" ht="15.75" customHeight="1">
      <c r="K576" s="345"/>
      <c r="S576" s="437"/>
    </row>
    <row r="577" ht="15.75" customHeight="1">
      <c r="K577" s="345"/>
      <c r="S577" s="437"/>
    </row>
    <row r="578" ht="15.75" customHeight="1">
      <c r="K578" s="345"/>
      <c r="S578" s="437"/>
    </row>
    <row r="579" ht="15.75" customHeight="1">
      <c r="K579" s="345"/>
      <c r="S579" s="437"/>
    </row>
    <row r="580" ht="15.75" customHeight="1">
      <c r="K580" s="345"/>
      <c r="S580" s="437"/>
    </row>
    <row r="581" ht="15.75" customHeight="1">
      <c r="K581" s="345"/>
      <c r="S581" s="437"/>
    </row>
    <row r="582" ht="15.75" customHeight="1">
      <c r="K582" s="345"/>
      <c r="S582" s="437"/>
    </row>
    <row r="583" ht="15.75" customHeight="1">
      <c r="K583" s="345"/>
      <c r="S583" s="437"/>
    </row>
    <row r="584" ht="15.75" customHeight="1">
      <c r="K584" s="345"/>
      <c r="S584" s="437"/>
    </row>
    <row r="585" ht="15.75" customHeight="1">
      <c r="K585" s="345"/>
      <c r="S585" s="437"/>
    </row>
    <row r="586" ht="15.75" customHeight="1">
      <c r="K586" s="345"/>
      <c r="S586" s="437"/>
    </row>
    <row r="587" ht="15.75" customHeight="1">
      <c r="K587" s="345"/>
      <c r="S587" s="437"/>
    </row>
    <row r="588" ht="15.75" customHeight="1">
      <c r="K588" s="345"/>
      <c r="S588" s="437"/>
    </row>
    <row r="589" ht="15.75" customHeight="1">
      <c r="K589" s="345"/>
      <c r="S589" s="437"/>
    </row>
    <row r="590" ht="15.75" customHeight="1">
      <c r="K590" s="345"/>
      <c r="S590" s="437"/>
    </row>
    <row r="591" ht="15.75" customHeight="1">
      <c r="K591" s="345"/>
      <c r="S591" s="437"/>
    </row>
    <row r="592" ht="15.75" customHeight="1">
      <c r="K592" s="345"/>
      <c r="S592" s="437"/>
    </row>
    <row r="593" ht="15.75" customHeight="1">
      <c r="K593" s="345"/>
      <c r="S593" s="437"/>
    </row>
    <row r="594" ht="15.75" customHeight="1">
      <c r="K594" s="345"/>
      <c r="S594" s="437"/>
    </row>
    <row r="595" ht="15.75" customHeight="1">
      <c r="K595" s="345"/>
      <c r="S595" s="437"/>
    </row>
    <row r="596" ht="15.75" customHeight="1">
      <c r="K596" s="345"/>
      <c r="S596" s="437"/>
    </row>
    <row r="597" ht="15.75" customHeight="1">
      <c r="K597" s="345"/>
      <c r="S597" s="437"/>
    </row>
    <row r="598" ht="15.75" customHeight="1">
      <c r="K598" s="345"/>
      <c r="S598" s="437"/>
    </row>
    <row r="599" ht="15.75" customHeight="1">
      <c r="K599" s="345"/>
      <c r="S599" s="437"/>
    </row>
    <row r="600" ht="15.75" customHeight="1">
      <c r="K600" s="345"/>
      <c r="S600" s="437"/>
    </row>
    <row r="601" ht="15.75" customHeight="1">
      <c r="K601" s="345"/>
      <c r="S601" s="437"/>
    </row>
    <row r="602" ht="15.75" customHeight="1">
      <c r="K602" s="345"/>
      <c r="S602" s="437"/>
    </row>
    <row r="603" ht="15.75" customHeight="1">
      <c r="K603" s="345"/>
      <c r="S603" s="437"/>
    </row>
    <row r="604" ht="15.75" customHeight="1">
      <c r="K604" s="345"/>
      <c r="S604" s="437"/>
    </row>
    <row r="605" ht="15.75" customHeight="1">
      <c r="K605" s="345"/>
      <c r="S605" s="437"/>
    </row>
    <row r="606" ht="15.75" customHeight="1">
      <c r="K606" s="345"/>
      <c r="S606" s="437"/>
    </row>
    <row r="607" ht="15.75" customHeight="1">
      <c r="K607" s="345"/>
      <c r="S607" s="437"/>
    </row>
    <row r="608" ht="15.75" customHeight="1">
      <c r="K608" s="345"/>
      <c r="S608" s="437"/>
    </row>
    <row r="609" ht="15.75" customHeight="1">
      <c r="K609" s="345"/>
      <c r="S609" s="437"/>
    </row>
    <row r="610" ht="15.75" customHeight="1">
      <c r="K610" s="345"/>
      <c r="S610" s="437"/>
    </row>
    <row r="611" ht="15.75" customHeight="1">
      <c r="K611" s="345"/>
      <c r="S611" s="437"/>
    </row>
    <row r="612" ht="15.75" customHeight="1">
      <c r="K612" s="345"/>
      <c r="S612" s="437"/>
    </row>
    <row r="613" ht="15.75" customHeight="1">
      <c r="K613" s="345"/>
      <c r="S613" s="437"/>
    </row>
    <row r="614" ht="15.75" customHeight="1">
      <c r="K614" s="345"/>
      <c r="S614" s="437"/>
    </row>
    <row r="615" ht="15.75" customHeight="1">
      <c r="K615" s="345"/>
      <c r="S615" s="437"/>
    </row>
    <row r="616" ht="15.75" customHeight="1">
      <c r="K616" s="345"/>
      <c r="S616" s="437"/>
    </row>
    <row r="617" ht="15.75" customHeight="1">
      <c r="K617" s="345"/>
      <c r="S617" s="437"/>
    </row>
    <row r="618" ht="15.75" customHeight="1">
      <c r="K618" s="345"/>
      <c r="S618" s="437"/>
    </row>
    <row r="619" ht="15.75" customHeight="1">
      <c r="K619" s="345"/>
      <c r="S619" s="437"/>
    </row>
    <row r="620" ht="15.75" customHeight="1">
      <c r="K620" s="345"/>
      <c r="S620" s="437"/>
    </row>
    <row r="621" ht="15.75" customHeight="1">
      <c r="K621" s="345"/>
      <c r="S621" s="437"/>
    </row>
    <row r="622" ht="15.75" customHeight="1">
      <c r="K622" s="345"/>
      <c r="S622" s="437"/>
    </row>
    <row r="623" ht="15.75" customHeight="1">
      <c r="K623" s="345"/>
      <c r="S623" s="437"/>
    </row>
    <row r="624" ht="15.75" customHeight="1">
      <c r="K624" s="345"/>
      <c r="S624" s="437"/>
    </row>
    <row r="625" ht="15.75" customHeight="1">
      <c r="K625" s="345"/>
      <c r="S625" s="437"/>
    </row>
    <row r="626" ht="15.75" customHeight="1">
      <c r="K626" s="345"/>
      <c r="S626" s="437"/>
    </row>
    <row r="627" ht="15.75" customHeight="1">
      <c r="K627" s="345"/>
      <c r="S627" s="437"/>
    </row>
    <row r="628" ht="15.75" customHeight="1">
      <c r="K628" s="345"/>
      <c r="S628" s="437"/>
    </row>
    <row r="629" ht="15.75" customHeight="1">
      <c r="K629" s="345"/>
      <c r="S629" s="437"/>
    </row>
    <row r="630" ht="15.75" customHeight="1">
      <c r="K630" s="345"/>
      <c r="S630" s="437"/>
    </row>
    <row r="631" ht="15.75" customHeight="1">
      <c r="K631" s="345"/>
      <c r="S631" s="437"/>
    </row>
    <row r="632" ht="15.75" customHeight="1">
      <c r="K632" s="345"/>
      <c r="S632" s="437"/>
    </row>
    <row r="633" ht="15.75" customHeight="1">
      <c r="K633" s="345"/>
      <c r="S633" s="437"/>
    </row>
    <row r="634" ht="15.75" customHeight="1">
      <c r="K634" s="345"/>
      <c r="S634" s="437"/>
    </row>
    <row r="635" ht="15.75" customHeight="1">
      <c r="K635" s="345"/>
      <c r="S635" s="437"/>
    </row>
    <row r="636" ht="15.75" customHeight="1">
      <c r="K636" s="345"/>
      <c r="S636" s="437"/>
    </row>
    <row r="637" ht="15.75" customHeight="1">
      <c r="K637" s="345"/>
      <c r="S637" s="437"/>
    </row>
    <row r="638" ht="15.75" customHeight="1">
      <c r="K638" s="345"/>
      <c r="S638" s="437"/>
    </row>
    <row r="639" ht="15.75" customHeight="1">
      <c r="K639" s="345"/>
      <c r="S639" s="437"/>
    </row>
    <row r="640" ht="15.75" customHeight="1">
      <c r="K640" s="345"/>
      <c r="S640" s="437"/>
    </row>
    <row r="641" ht="15.75" customHeight="1">
      <c r="K641" s="345"/>
      <c r="S641" s="437"/>
    </row>
    <row r="642" ht="15.75" customHeight="1">
      <c r="K642" s="345"/>
      <c r="S642" s="437"/>
    </row>
    <row r="643" ht="15.75" customHeight="1">
      <c r="K643" s="345"/>
      <c r="S643" s="437"/>
    </row>
    <row r="644" ht="15.75" customHeight="1">
      <c r="K644" s="345"/>
      <c r="S644" s="437"/>
    </row>
    <row r="645" ht="15.75" customHeight="1">
      <c r="K645" s="345"/>
      <c r="S645" s="437"/>
    </row>
    <row r="646" ht="15.75" customHeight="1">
      <c r="K646" s="345"/>
      <c r="S646" s="437"/>
    </row>
    <row r="647" ht="15.75" customHeight="1">
      <c r="K647" s="345"/>
      <c r="S647" s="437"/>
    </row>
    <row r="648" ht="15.75" customHeight="1">
      <c r="K648" s="345"/>
      <c r="S648" s="437"/>
    </row>
    <row r="649" ht="15.75" customHeight="1">
      <c r="K649" s="345"/>
      <c r="S649" s="437"/>
    </row>
    <row r="650" ht="15.75" customHeight="1">
      <c r="K650" s="345"/>
      <c r="S650" s="437"/>
    </row>
    <row r="651" ht="15.75" customHeight="1">
      <c r="K651" s="345"/>
      <c r="S651" s="437"/>
    </row>
    <row r="652" ht="15.75" customHeight="1">
      <c r="K652" s="345"/>
      <c r="S652" s="437"/>
    </row>
    <row r="653" ht="15.75" customHeight="1">
      <c r="K653" s="345"/>
      <c r="S653" s="437"/>
    </row>
    <row r="654" ht="15.75" customHeight="1">
      <c r="K654" s="345"/>
      <c r="S654" s="437"/>
    </row>
    <row r="655" ht="15.75" customHeight="1">
      <c r="K655" s="345"/>
      <c r="S655" s="437"/>
    </row>
    <row r="656" ht="15.75" customHeight="1">
      <c r="K656" s="345"/>
      <c r="S656" s="437"/>
    </row>
    <row r="657" ht="15.75" customHeight="1">
      <c r="K657" s="345"/>
      <c r="S657" s="437"/>
    </row>
    <row r="658" ht="15.75" customHeight="1">
      <c r="K658" s="345"/>
      <c r="S658" s="437"/>
    </row>
    <row r="659" ht="15.75" customHeight="1">
      <c r="K659" s="345"/>
      <c r="S659" s="437"/>
    </row>
    <row r="660" ht="15.75" customHeight="1">
      <c r="K660" s="345"/>
      <c r="S660" s="437"/>
    </row>
    <row r="661" ht="15.75" customHeight="1">
      <c r="K661" s="345"/>
      <c r="S661" s="437"/>
    </row>
    <row r="662" ht="15.75" customHeight="1">
      <c r="K662" s="345"/>
      <c r="S662" s="437"/>
    </row>
    <row r="663" ht="15.75" customHeight="1">
      <c r="K663" s="345"/>
      <c r="S663" s="437"/>
    </row>
    <row r="664" ht="15.75" customHeight="1">
      <c r="K664" s="345"/>
      <c r="S664" s="437"/>
    </row>
    <row r="665" ht="15.75" customHeight="1">
      <c r="K665" s="345"/>
      <c r="S665" s="437"/>
    </row>
    <row r="666" ht="15.75" customHeight="1">
      <c r="K666" s="345"/>
      <c r="S666" s="437"/>
    </row>
    <row r="667" ht="15.75" customHeight="1">
      <c r="K667" s="345"/>
      <c r="S667" s="437"/>
    </row>
    <row r="668" ht="15.75" customHeight="1">
      <c r="K668" s="345"/>
      <c r="S668" s="437"/>
    </row>
    <row r="669" ht="15.75" customHeight="1">
      <c r="K669" s="345"/>
      <c r="S669" s="437"/>
    </row>
    <row r="670" ht="15.75" customHeight="1">
      <c r="K670" s="345"/>
      <c r="S670" s="437"/>
    </row>
    <row r="671" ht="15.75" customHeight="1">
      <c r="K671" s="345"/>
      <c r="S671" s="437"/>
    </row>
    <row r="672" ht="15.75" customHeight="1">
      <c r="K672" s="345"/>
      <c r="S672" s="437"/>
    </row>
    <row r="673" ht="15.75" customHeight="1">
      <c r="K673" s="345"/>
      <c r="S673" s="437"/>
    </row>
    <row r="674" ht="15.75" customHeight="1">
      <c r="K674" s="345"/>
      <c r="S674" s="437"/>
    </row>
    <row r="675" ht="15.75" customHeight="1">
      <c r="K675" s="345"/>
      <c r="S675" s="437"/>
    </row>
    <row r="676" ht="15.75" customHeight="1">
      <c r="K676" s="345"/>
      <c r="S676" s="437"/>
    </row>
    <row r="677" ht="15.75" customHeight="1">
      <c r="K677" s="345"/>
      <c r="S677" s="437"/>
    </row>
    <row r="678" ht="15.75" customHeight="1">
      <c r="K678" s="345"/>
      <c r="S678" s="437"/>
    </row>
    <row r="679" ht="15.75" customHeight="1">
      <c r="K679" s="345"/>
      <c r="S679" s="437"/>
    </row>
    <row r="680" ht="15.75" customHeight="1">
      <c r="K680" s="345"/>
      <c r="S680" s="437"/>
    </row>
    <row r="681" ht="15.75" customHeight="1">
      <c r="K681" s="345"/>
      <c r="S681" s="437"/>
    </row>
    <row r="682" ht="15.75" customHeight="1">
      <c r="K682" s="345"/>
      <c r="S682" s="437"/>
    </row>
    <row r="683" ht="15.75" customHeight="1">
      <c r="K683" s="345"/>
      <c r="S683" s="437"/>
    </row>
    <row r="684" ht="15.75" customHeight="1">
      <c r="K684" s="345"/>
      <c r="S684" s="437"/>
    </row>
    <row r="685" ht="15.75" customHeight="1">
      <c r="K685" s="345"/>
      <c r="S685" s="437"/>
    </row>
    <row r="686" ht="15.75" customHeight="1">
      <c r="K686" s="345"/>
      <c r="S686" s="437"/>
    </row>
    <row r="687" ht="15.75" customHeight="1">
      <c r="K687" s="345"/>
      <c r="S687" s="437"/>
    </row>
    <row r="688" ht="15.75" customHeight="1">
      <c r="K688" s="345"/>
      <c r="S688" s="437"/>
    </row>
    <row r="689" ht="15.75" customHeight="1">
      <c r="K689" s="345"/>
      <c r="S689" s="437"/>
    </row>
    <row r="690" ht="15.75" customHeight="1">
      <c r="K690" s="345"/>
      <c r="S690" s="437"/>
    </row>
    <row r="691" ht="15.75" customHeight="1">
      <c r="K691" s="345"/>
      <c r="S691" s="437"/>
    </row>
    <row r="692" ht="15.75" customHeight="1">
      <c r="K692" s="345"/>
      <c r="S692" s="437"/>
    </row>
    <row r="693" ht="15.75" customHeight="1">
      <c r="K693" s="345"/>
      <c r="S693" s="437"/>
    </row>
    <row r="694" ht="15.75" customHeight="1">
      <c r="K694" s="345"/>
      <c r="S694" s="437"/>
    </row>
    <row r="695" ht="15.75" customHeight="1">
      <c r="K695" s="345"/>
      <c r="S695" s="437"/>
    </row>
    <row r="696" ht="15.75" customHeight="1">
      <c r="K696" s="345"/>
      <c r="S696" s="437"/>
    </row>
    <row r="697" ht="15.75" customHeight="1">
      <c r="K697" s="345"/>
      <c r="S697" s="437"/>
    </row>
    <row r="698" ht="15.75" customHeight="1">
      <c r="K698" s="345"/>
      <c r="S698" s="437"/>
    </row>
    <row r="699" ht="15.75" customHeight="1">
      <c r="K699" s="345"/>
      <c r="S699" s="437"/>
    </row>
    <row r="700" ht="15.75" customHeight="1">
      <c r="K700" s="345"/>
      <c r="S700" s="437"/>
    </row>
    <row r="701" ht="15.75" customHeight="1">
      <c r="K701" s="345"/>
      <c r="S701" s="437"/>
    </row>
    <row r="702" ht="15.75" customHeight="1">
      <c r="K702" s="345"/>
      <c r="S702" s="437"/>
    </row>
    <row r="703" ht="15.75" customHeight="1">
      <c r="K703" s="345"/>
      <c r="S703" s="437"/>
    </row>
    <row r="704" ht="15.75" customHeight="1">
      <c r="K704" s="345"/>
      <c r="S704" s="437"/>
    </row>
    <row r="705" ht="15.75" customHeight="1">
      <c r="K705" s="345"/>
      <c r="S705" s="437"/>
    </row>
    <row r="706" ht="15.75" customHeight="1">
      <c r="K706" s="345"/>
      <c r="S706" s="437"/>
    </row>
    <row r="707" ht="15.75" customHeight="1">
      <c r="K707" s="345"/>
      <c r="S707" s="437"/>
    </row>
    <row r="708" ht="15.75" customHeight="1">
      <c r="K708" s="345"/>
      <c r="S708" s="437"/>
    </row>
    <row r="709" ht="15.75" customHeight="1">
      <c r="K709" s="345"/>
      <c r="S709" s="437"/>
    </row>
    <row r="710" ht="15.75" customHeight="1">
      <c r="K710" s="345"/>
      <c r="S710" s="437"/>
    </row>
    <row r="711" ht="15.75" customHeight="1">
      <c r="K711" s="345"/>
      <c r="S711" s="437"/>
    </row>
    <row r="712" ht="15.75" customHeight="1">
      <c r="K712" s="345"/>
      <c r="S712" s="437"/>
    </row>
    <row r="713" ht="15.75" customHeight="1">
      <c r="K713" s="345"/>
      <c r="S713" s="437"/>
    </row>
    <row r="714" ht="15.75" customHeight="1">
      <c r="K714" s="345"/>
      <c r="S714" s="437"/>
    </row>
    <row r="715" ht="15.75" customHeight="1">
      <c r="K715" s="345"/>
      <c r="S715" s="437"/>
    </row>
    <row r="716" ht="15.75" customHeight="1">
      <c r="K716" s="345"/>
      <c r="S716" s="437"/>
    </row>
    <row r="717" ht="15.75" customHeight="1">
      <c r="K717" s="345"/>
      <c r="S717" s="437"/>
    </row>
    <row r="718" ht="15.75" customHeight="1">
      <c r="K718" s="345"/>
      <c r="S718" s="437"/>
    </row>
    <row r="719" ht="15.75" customHeight="1">
      <c r="K719" s="345"/>
      <c r="S719" s="437"/>
    </row>
    <row r="720" ht="15.75" customHeight="1">
      <c r="K720" s="345"/>
      <c r="S720" s="437"/>
    </row>
    <row r="721" ht="15.75" customHeight="1">
      <c r="K721" s="345"/>
      <c r="S721" s="437"/>
    </row>
    <row r="722" ht="15.75" customHeight="1">
      <c r="K722" s="345"/>
      <c r="S722" s="437"/>
    </row>
    <row r="723" ht="15.75" customHeight="1">
      <c r="K723" s="345"/>
      <c r="S723" s="437"/>
    </row>
    <row r="724" ht="15.75" customHeight="1">
      <c r="K724" s="345"/>
      <c r="S724" s="437"/>
    </row>
    <row r="725" ht="15.75" customHeight="1">
      <c r="K725" s="345"/>
      <c r="S725" s="437"/>
    </row>
    <row r="726" ht="15.75" customHeight="1">
      <c r="K726" s="345"/>
      <c r="S726" s="437"/>
    </row>
    <row r="727" ht="15.75" customHeight="1">
      <c r="K727" s="345"/>
      <c r="S727" s="437"/>
    </row>
    <row r="728" ht="15.75" customHeight="1">
      <c r="K728" s="345"/>
      <c r="S728" s="437"/>
    </row>
    <row r="729" ht="15.75" customHeight="1">
      <c r="K729" s="345"/>
      <c r="S729" s="437"/>
    </row>
    <row r="730" ht="15.75" customHeight="1">
      <c r="K730" s="345"/>
      <c r="S730" s="437"/>
    </row>
    <row r="731" ht="15.75" customHeight="1">
      <c r="K731" s="345"/>
      <c r="S731" s="437"/>
    </row>
    <row r="732" ht="15.75" customHeight="1">
      <c r="K732" s="345"/>
      <c r="S732" s="437"/>
    </row>
    <row r="733" ht="15.75" customHeight="1">
      <c r="K733" s="345"/>
      <c r="S733" s="437"/>
    </row>
    <row r="734" ht="15.75" customHeight="1">
      <c r="K734" s="345"/>
      <c r="S734" s="437"/>
    </row>
    <row r="735" ht="15.75" customHeight="1">
      <c r="K735" s="345"/>
      <c r="S735" s="437"/>
    </row>
    <row r="736" ht="15.75" customHeight="1">
      <c r="K736" s="345"/>
      <c r="S736" s="437"/>
    </row>
    <row r="737" ht="15.75" customHeight="1">
      <c r="K737" s="345"/>
      <c r="S737" s="437"/>
    </row>
    <row r="738" ht="15.75" customHeight="1">
      <c r="K738" s="345"/>
      <c r="S738" s="437"/>
    </row>
    <row r="739" ht="15.75" customHeight="1">
      <c r="K739" s="345"/>
      <c r="S739" s="437"/>
    </row>
    <row r="740" ht="15.75" customHeight="1">
      <c r="K740" s="345"/>
      <c r="S740" s="437"/>
    </row>
    <row r="741" ht="15.75" customHeight="1">
      <c r="K741" s="345"/>
      <c r="S741" s="437"/>
    </row>
    <row r="742" ht="15.75" customHeight="1">
      <c r="K742" s="345"/>
      <c r="S742" s="437"/>
    </row>
    <row r="743" ht="15.75" customHeight="1">
      <c r="K743" s="345"/>
      <c r="S743" s="437"/>
    </row>
    <row r="744" ht="15.75" customHeight="1">
      <c r="K744" s="345"/>
      <c r="S744" s="437"/>
    </row>
    <row r="745" ht="15.75" customHeight="1">
      <c r="K745" s="345"/>
      <c r="S745" s="437"/>
    </row>
    <row r="746" ht="15.75" customHeight="1">
      <c r="K746" s="345"/>
      <c r="S746" s="437"/>
    </row>
    <row r="747" ht="15.75" customHeight="1">
      <c r="K747" s="345"/>
      <c r="S747" s="437"/>
    </row>
    <row r="748" ht="15.75" customHeight="1">
      <c r="K748" s="345"/>
      <c r="S748" s="437"/>
    </row>
    <row r="749" ht="15.75" customHeight="1">
      <c r="K749" s="345"/>
      <c r="S749" s="437"/>
    </row>
    <row r="750" ht="15.75" customHeight="1">
      <c r="K750" s="345"/>
      <c r="S750" s="437"/>
    </row>
    <row r="751" ht="15.75" customHeight="1">
      <c r="K751" s="345"/>
      <c r="S751" s="437"/>
    </row>
    <row r="752" ht="15.75" customHeight="1">
      <c r="K752" s="345"/>
      <c r="S752" s="437"/>
    </row>
    <row r="753" ht="15.75" customHeight="1">
      <c r="K753" s="345"/>
      <c r="S753" s="437"/>
    </row>
    <row r="754" ht="15.75" customHeight="1">
      <c r="K754" s="345"/>
      <c r="S754" s="437"/>
    </row>
    <row r="755" ht="15.75" customHeight="1">
      <c r="K755" s="345"/>
      <c r="S755" s="437"/>
    </row>
    <row r="756" ht="15.75" customHeight="1">
      <c r="K756" s="345"/>
      <c r="S756" s="437"/>
    </row>
    <row r="757" ht="15.75" customHeight="1">
      <c r="K757" s="345"/>
      <c r="S757" s="437"/>
    </row>
    <row r="758" ht="15.75" customHeight="1">
      <c r="K758" s="345"/>
      <c r="S758" s="437"/>
    </row>
    <row r="759" ht="15.75" customHeight="1">
      <c r="K759" s="345"/>
      <c r="S759" s="437"/>
    </row>
    <row r="760" ht="15.75" customHeight="1">
      <c r="K760" s="345"/>
      <c r="S760" s="437"/>
    </row>
    <row r="761" ht="15.75" customHeight="1">
      <c r="K761" s="345"/>
      <c r="S761" s="437"/>
    </row>
    <row r="762" ht="15.75" customHeight="1">
      <c r="K762" s="345"/>
      <c r="S762" s="437"/>
    </row>
    <row r="763" ht="15.75" customHeight="1">
      <c r="K763" s="345"/>
      <c r="S763" s="437"/>
    </row>
    <row r="764" ht="15.75" customHeight="1">
      <c r="K764" s="345"/>
      <c r="S764" s="437"/>
    </row>
    <row r="765" ht="15.75" customHeight="1">
      <c r="K765" s="345"/>
      <c r="S765" s="437"/>
    </row>
    <row r="766" ht="15.75" customHeight="1">
      <c r="K766" s="345"/>
      <c r="S766" s="437"/>
    </row>
    <row r="767" ht="15.75" customHeight="1">
      <c r="K767" s="345"/>
      <c r="S767" s="437"/>
    </row>
    <row r="768" ht="15.75" customHeight="1">
      <c r="K768" s="345"/>
      <c r="S768" s="437"/>
    </row>
    <row r="769" ht="15.75" customHeight="1">
      <c r="K769" s="345"/>
      <c r="S769" s="437"/>
    </row>
    <row r="770" ht="15.75" customHeight="1">
      <c r="K770" s="345"/>
      <c r="S770" s="437"/>
    </row>
    <row r="771" ht="15.75" customHeight="1">
      <c r="K771" s="345"/>
      <c r="S771" s="437"/>
    </row>
    <row r="772" ht="15.75" customHeight="1">
      <c r="K772" s="345"/>
      <c r="S772" s="437"/>
    </row>
    <row r="773" ht="15.75" customHeight="1">
      <c r="K773" s="345"/>
      <c r="S773" s="437"/>
    </row>
    <row r="774" ht="15.75" customHeight="1">
      <c r="K774" s="345"/>
      <c r="S774" s="437"/>
    </row>
    <row r="775" ht="15.75" customHeight="1">
      <c r="K775" s="345"/>
      <c r="S775" s="437"/>
    </row>
    <row r="776" ht="15.75" customHeight="1">
      <c r="K776" s="345"/>
      <c r="S776" s="437"/>
    </row>
    <row r="777" ht="15.75" customHeight="1">
      <c r="K777" s="345"/>
      <c r="S777" s="437"/>
    </row>
    <row r="778" ht="15.75" customHeight="1">
      <c r="K778" s="345"/>
      <c r="S778" s="437"/>
    </row>
    <row r="779" ht="15.75" customHeight="1">
      <c r="K779" s="345"/>
      <c r="S779" s="437"/>
    </row>
    <row r="780" ht="15.75" customHeight="1">
      <c r="K780" s="345"/>
      <c r="S780" s="437"/>
    </row>
    <row r="781" ht="15.75" customHeight="1">
      <c r="K781" s="345"/>
      <c r="S781" s="437"/>
    </row>
    <row r="782" ht="15.75" customHeight="1">
      <c r="K782" s="345"/>
      <c r="S782" s="437"/>
    </row>
    <row r="783" ht="15.75" customHeight="1">
      <c r="K783" s="345"/>
      <c r="S783" s="437"/>
    </row>
    <row r="784" ht="15.75" customHeight="1">
      <c r="K784" s="345"/>
      <c r="S784" s="437"/>
    </row>
    <row r="785" ht="15.75" customHeight="1">
      <c r="K785" s="345"/>
      <c r="S785" s="437"/>
    </row>
    <row r="786" ht="15.75" customHeight="1">
      <c r="K786" s="345"/>
      <c r="S786" s="437"/>
    </row>
    <row r="787" ht="15.75" customHeight="1">
      <c r="K787" s="345"/>
      <c r="S787" s="437"/>
    </row>
    <row r="788" ht="15.75" customHeight="1">
      <c r="K788" s="345"/>
      <c r="S788" s="437"/>
    </row>
    <row r="789" ht="15.75" customHeight="1">
      <c r="K789" s="345"/>
      <c r="S789" s="437"/>
    </row>
    <row r="790" ht="15.75" customHeight="1">
      <c r="K790" s="345"/>
      <c r="S790" s="437"/>
    </row>
    <row r="791" ht="15.75" customHeight="1">
      <c r="K791" s="345"/>
      <c r="S791" s="437"/>
    </row>
    <row r="792" ht="15.75" customHeight="1">
      <c r="K792" s="345"/>
      <c r="S792" s="437"/>
    </row>
    <row r="793" ht="15.75" customHeight="1">
      <c r="K793" s="345"/>
      <c r="S793" s="437"/>
    </row>
    <row r="794" ht="15.75" customHeight="1">
      <c r="K794" s="345"/>
      <c r="S794" s="437"/>
    </row>
    <row r="795" ht="15.75" customHeight="1">
      <c r="K795" s="345"/>
      <c r="S795" s="437"/>
    </row>
    <row r="796" ht="15.75" customHeight="1">
      <c r="K796" s="345"/>
      <c r="S796" s="437"/>
    </row>
    <row r="797" ht="15.75" customHeight="1">
      <c r="K797" s="345"/>
      <c r="S797" s="437"/>
    </row>
    <row r="798" ht="15.75" customHeight="1">
      <c r="K798" s="345"/>
      <c r="S798" s="437"/>
    </row>
    <row r="799" ht="15.75" customHeight="1">
      <c r="K799" s="345"/>
      <c r="S799" s="437"/>
    </row>
    <row r="800" ht="15.75" customHeight="1">
      <c r="K800" s="345"/>
      <c r="S800" s="437"/>
    </row>
    <row r="801" ht="15.75" customHeight="1">
      <c r="K801" s="345"/>
      <c r="S801" s="437"/>
    </row>
    <row r="802" ht="15.75" customHeight="1">
      <c r="K802" s="345"/>
      <c r="S802" s="437"/>
    </row>
    <row r="803" ht="15.75" customHeight="1">
      <c r="K803" s="345"/>
      <c r="S803" s="437"/>
    </row>
    <row r="804" ht="15.75" customHeight="1">
      <c r="K804" s="345"/>
      <c r="S804" s="437"/>
    </row>
    <row r="805" ht="15.75" customHeight="1">
      <c r="K805" s="345"/>
      <c r="S805" s="437"/>
    </row>
    <row r="806" ht="15.75" customHeight="1">
      <c r="K806" s="345"/>
      <c r="S806" s="437"/>
    </row>
    <row r="807" ht="15.75" customHeight="1">
      <c r="K807" s="345"/>
      <c r="S807" s="437"/>
    </row>
    <row r="808" ht="15.75" customHeight="1">
      <c r="K808" s="345"/>
      <c r="S808" s="437"/>
    </row>
    <row r="809" ht="15.75" customHeight="1">
      <c r="K809" s="345"/>
      <c r="S809" s="437"/>
    </row>
    <row r="810" ht="15.75" customHeight="1">
      <c r="K810" s="345"/>
      <c r="S810" s="437"/>
    </row>
    <row r="811" ht="15.75" customHeight="1">
      <c r="K811" s="345"/>
      <c r="S811" s="437"/>
    </row>
    <row r="812" ht="15.75" customHeight="1">
      <c r="K812" s="345"/>
      <c r="S812" s="437"/>
    </row>
    <row r="813" ht="15.75" customHeight="1">
      <c r="K813" s="345"/>
      <c r="S813" s="437"/>
    </row>
    <row r="814" ht="15.75" customHeight="1">
      <c r="K814" s="345"/>
      <c r="S814" s="437"/>
    </row>
    <row r="815" ht="15.75" customHeight="1">
      <c r="K815" s="345"/>
      <c r="S815" s="437"/>
    </row>
    <row r="816" ht="15.75" customHeight="1">
      <c r="K816" s="345"/>
      <c r="S816" s="437"/>
    </row>
    <row r="817" ht="15.75" customHeight="1">
      <c r="K817" s="345"/>
      <c r="S817" s="437"/>
    </row>
    <row r="818" ht="15.75" customHeight="1">
      <c r="K818" s="345"/>
      <c r="S818" s="437"/>
    </row>
    <row r="819" ht="15.75" customHeight="1">
      <c r="K819" s="345"/>
      <c r="S819" s="437"/>
    </row>
    <row r="820" ht="15.75" customHeight="1">
      <c r="K820" s="345"/>
      <c r="S820" s="437"/>
    </row>
    <row r="821" ht="15.75" customHeight="1">
      <c r="K821" s="345"/>
      <c r="S821" s="437"/>
    </row>
    <row r="822" ht="15.75" customHeight="1">
      <c r="K822" s="345"/>
      <c r="S822" s="437"/>
    </row>
    <row r="823" ht="15.75" customHeight="1">
      <c r="K823" s="345"/>
      <c r="S823" s="437"/>
    </row>
    <row r="824" ht="15.75" customHeight="1">
      <c r="K824" s="345"/>
      <c r="S824" s="437"/>
    </row>
    <row r="825" ht="15.75" customHeight="1">
      <c r="K825" s="345"/>
      <c r="S825" s="437"/>
    </row>
    <row r="826" ht="15.75" customHeight="1">
      <c r="K826" s="345"/>
      <c r="S826" s="437"/>
    </row>
    <row r="827" ht="15.75" customHeight="1">
      <c r="K827" s="345"/>
      <c r="S827" s="437"/>
    </row>
    <row r="828" ht="15.75" customHeight="1">
      <c r="K828" s="345"/>
      <c r="S828" s="437"/>
    </row>
    <row r="829" ht="15.75" customHeight="1">
      <c r="K829" s="345"/>
      <c r="S829" s="437"/>
    </row>
    <row r="830" ht="15.75" customHeight="1">
      <c r="K830" s="345"/>
      <c r="S830" s="437"/>
    </row>
    <row r="831" ht="15.75" customHeight="1">
      <c r="K831" s="345"/>
      <c r="S831" s="437"/>
    </row>
    <row r="832" ht="15.75" customHeight="1">
      <c r="K832" s="345"/>
      <c r="S832" s="437"/>
    </row>
    <row r="833" ht="15.75" customHeight="1">
      <c r="K833" s="345"/>
      <c r="S833" s="437"/>
    </row>
    <row r="834" ht="15.75" customHeight="1">
      <c r="K834" s="345"/>
      <c r="S834" s="437"/>
    </row>
    <row r="835" ht="15.75" customHeight="1">
      <c r="K835" s="345"/>
      <c r="S835" s="437"/>
    </row>
    <row r="836" ht="15.75" customHeight="1">
      <c r="K836" s="345"/>
      <c r="S836" s="437"/>
    </row>
    <row r="837" ht="15.75" customHeight="1">
      <c r="K837" s="345"/>
      <c r="S837" s="437"/>
    </row>
    <row r="838" ht="15.75" customHeight="1">
      <c r="K838" s="345"/>
      <c r="S838" s="437"/>
    </row>
    <row r="839" ht="15.75" customHeight="1">
      <c r="K839" s="345"/>
      <c r="S839" s="437"/>
    </row>
    <row r="840" ht="15.75" customHeight="1">
      <c r="K840" s="345"/>
      <c r="S840" s="437"/>
    </row>
    <row r="841" ht="15.75" customHeight="1">
      <c r="K841" s="345"/>
      <c r="S841" s="437"/>
    </row>
    <row r="842" ht="15.75" customHeight="1">
      <c r="K842" s="345"/>
      <c r="S842" s="437"/>
    </row>
    <row r="843" ht="15.75" customHeight="1">
      <c r="K843" s="345"/>
      <c r="S843" s="437"/>
    </row>
    <row r="844" ht="15.75" customHeight="1">
      <c r="K844" s="345"/>
      <c r="S844" s="437"/>
    </row>
    <row r="845" ht="15.75" customHeight="1">
      <c r="K845" s="345"/>
      <c r="S845" s="437"/>
    </row>
    <row r="846" ht="15.75" customHeight="1">
      <c r="K846" s="345"/>
      <c r="S846" s="437"/>
    </row>
    <row r="847" ht="15.75" customHeight="1">
      <c r="K847" s="345"/>
      <c r="S847" s="437"/>
    </row>
    <row r="848" ht="15.75" customHeight="1">
      <c r="K848" s="345"/>
      <c r="S848" s="437"/>
    </row>
    <row r="849" ht="15.75" customHeight="1">
      <c r="K849" s="345"/>
      <c r="S849" s="437"/>
    </row>
    <row r="850" ht="15.75" customHeight="1">
      <c r="K850" s="345"/>
      <c r="S850" s="437"/>
    </row>
    <row r="851" ht="15.75" customHeight="1">
      <c r="K851" s="345"/>
      <c r="S851" s="437"/>
    </row>
    <row r="852" ht="15.75" customHeight="1">
      <c r="K852" s="345"/>
      <c r="S852" s="437"/>
    </row>
    <row r="853" ht="15.75" customHeight="1">
      <c r="K853" s="345"/>
      <c r="S853" s="437"/>
    </row>
    <row r="854" ht="15.75" customHeight="1">
      <c r="K854" s="345"/>
      <c r="S854" s="437"/>
    </row>
    <row r="855" ht="15.75" customHeight="1">
      <c r="K855" s="345"/>
      <c r="S855" s="437"/>
    </row>
    <row r="856" ht="15.75" customHeight="1">
      <c r="K856" s="345"/>
      <c r="S856" s="437"/>
    </row>
    <row r="857" ht="15.75" customHeight="1">
      <c r="K857" s="345"/>
      <c r="S857" s="437"/>
    </row>
    <row r="858" ht="15.75" customHeight="1">
      <c r="K858" s="345"/>
      <c r="S858" s="437"/>
    </row>
    <row r="859" ht="15.75" customHeight="1">
      <c r="K859" s="345"/>
      <c r="S859" s="437"/>
    </row>
    <row r="860" ht="15.75" customHeight="1">
      <c r="K860" s="345"/>
      <c r="S860" s="437"/>
    </row>
    <row r="861" ht="15.75" customHeight="1">
      <c r="K861" s="345"/>
      <c r="S861" s="437"/>
    </row>
    <row r="862" ht="15.75" customHeight="1">
      <c r="K862" s="345"/>
      <c r="S862" s="437"/>
    </row>
    <row r="863" ht="15.75" customHeight="1">
      <c r="K863" s="345"/>
      <c r="S863" s="437"/>
    </row>
    <row r="864" ht="15.75" customHeight="1">
      <c r="K864" s="345"/>
      <c r="S864" s="437"/>
    </row>
    <row r="865" ht="15.75" customHeight="1">
      <c r="K865" s="345"/>
      <c r="S865" s="437"/>
    </row>
    <row r="866" ht="15.75" customHeight="1">
      <c r="K866" s="345"/>
      <c r="S866" s="437"/>
    </row>
    <row r="867" ht="15.75" customHeight="1">
      <c r="K867" s="345"/>
      <c r="S867" s="437"/>
    </row>
    <row r="868" ht="15.75" customHeight="1">
      <c r="K868" s="345"/>
      <c r="S868" s="437"/>
    </row>
    <row r="869" ht="15.75" customHeight="1">
      <c r="K869" s="345"/>
      <c r="S869" s="437"/>
    </row>
    <row r="870" ht="15.75" customHeight="1">
      <c r="K870" s="345"/>
      <c r="S870" s="437"/>
    </row>
    <row r="871" ht="15.75" customHeight="1">
      <c r="K871" s="345"/>
      <c r="S871" s="437"/>
    </row>
    <row r="872" ht="15.75" customHeight="1">
      <c r="K872" s="345"/>
      <c r="S872" s="437"/>
    </row>
    <row r="873" ht="15.75" customHeight="1">
      <c r="K873" s="345"/>
      <c r="S873" s="437"/>
    </row>
    <row r="874" ht="15.75" customHeight="1">
      <c r="K874" s="345"/>
      <c r="S874" s="437"/>
    </row>
    <row r="875" ht="15.75" customHeight="1">
      <c r="K875" s="345"/>
      <c r="S875" s="437"/>
    </row>
    <row r="876" ht="15.75" customHeight="1">
      <c r="K876" s="345"/>
      <c r="S876" s="437"/>
    </row>
    <row r="877" ht="15.75" customHeight="1">
      <c r="K877" s="345"/>
      <c r="S877" s="437"/>
    </row>
    <row r="878" ht="15.75" customHeight="1">
      <c r="K878" s="345"/>
      <c r="S878" s="437"/>
    </row>
    <row r="879" ht="15.75" customHeight="1">
      <c r="K879" s="345"/>
      <c r="S879" s="437"/>
    </row>
    <row r="880" ht="15.75" customHeight="1">
      <c r="K880" s="345"/>
      <c r="S880" s="437"/>
    </row>
    <row r="881" ht="15.75" customHeight="1">
      <c r="K881" s="345"/>
      <c r="S881" s="437"/>
    </row>
    <row r="882" ht="15.75" customHeight="1">
      <c r="K882" s="345"/>
      <c r="S882" s="437"/>
    </row>
    <row r="883" ht="15.75" customHeight="1">
      <c r="K883" s="345"/>
      <c r="S883" s="437"/>
    </row>
    <row r="884" ht="15.75" customHeight="1">
      <c r="K884" s="345"/>
      <c r="S884" s="437"/>
    </row>
    <row r="885" ht="15.75" customHeight="1">
      <c r="K885" s="345"/>
      <c r="S885" s="437"/>
    </row>
    <row r="886" ht="15.75" customHeight="1">
      <c r="K886" s="345"/>
      <c r="S886" s="437"/>
    </row>
    <row r="887" ht="15.75" customHeight="1">
      <c r="K887" s="345"/>
      <c r="S887" s="437"/>
    </row>
    <row r="888" ht="15.75" customHeight="1">
      <c r="K888" s="345"/>
      <c r="S888" s="437"/>
    </row>
    <row r="889" ht="15.75" customHeight="1">
      <c r="K889" s="345"/>
      <c r="S889" s="437"/>
    </row>
    <row r="890" ht="15.75" customHeight="1">
      <c r="K890" s="345"/>
      <c r="S890" s="437"/>
    </row>
    <row r="891" ht="15.75" customHeight="1">
      <c r="K891" s="345"/>
      <c r="S891" s="437"/>
    </row>
    <row r="892" ht="15.75" customHeight="1">
      <c r="K892" s="345"/>
      <c r="S892" s="437"/>
    </row>
    <row r="893" ht="15.75" customHeight="1">
      <c r="K893" s="345"/>
      <c r="S893" s="437"/>
    </row>
    <row r="894" ht="15.75" customHeight="1">
      <c r="K894" s="345"/>
      <c r="S894" s="437"/>
    </row>
    <row r="895" ht="15.75" customHeight="1">
      <c r="K895" s="345"/>
      <c r="S895" s="437"/>
    </row>
    <row r="896" ht="15.75" customHeight="1">
      <c r="K896" s="345"/>
      <c r="S896" s="437"/>
    </row>
    <row r="897" ht="15.75" customHeight="1">
      <c r="K897" s="345"/>
      <c r="S897" s="437"/>
    </row>
    <row r="898" ht="15.75" customHeight="1">
      <c r="K898" s="345"/>
      <c r="S898" s="437"/>
    </row>
    <row r="899" ht="15.75" customHeight="1">
      <c r="K899" s="345"/>
      <c r="S899" s="437"/>
    </row>
    <row r="900" ht="15.75" customHeight="1">
      <c r="K900" s="345"/>
      <c r="S900" s="437"/>
    </row>
    <row r="901" ht="15.75" customHeight="1">
      <c r="K901" s="345"/>
      <c r="S901" s="437"/>
    </row>
    <row r="902" ht="15.75" customHeight="1">
      <c r="K902" s="345"/>
      <c r="S902" s="437"/>
    </row>
    <row r="903" ht="15.75" customHeight="1">
      <c r="K903" s="345"/>
      <c r="S903" s="437"/>
    </row>
    <row r="904" ht="15.75" customHeight="1">
      <c r="K904" s="345"/>
      <c r="S904" s="437"/>
    </row>
    <row r="905" ht="15.75" customHeight="1">
      <c r="K905" s="345"/>
      <c r="S905" s="437"/>
    </row>
    <row r="906" ht="15.75" customHeight="1">
      <c r="K906" s="345"/>
      <c r="S906" s="437"/>
    </row>
    <row r="907" ht="15.75" customHeight="1">
      <c r="K907" s="345"/>
      <c r="S907" s="437"/>
    </row>
    <row r="908" ht="15.75" customHeight="1">
      <c r="K908" s="345"/>
      <c r="S908" s="437"/>
    </row>
    <row r="909" ht="15.75" customHeight="1">
      <c r="K909" s="345"/>
      <c r="S909" s="437"/>
    </row>
    <row r="910" ht="15.75" customHeight="1">
      <c r="K910" s="345"/>
      <c r="S910" s="437"/>
    </row>
    <row r="911" ht="15.75" customHeight="1">
      <c r="K911" s="345"/>
      <c r="S911" s="437"/>
    </row>
    <row r="912" ht="15.75" customHeight="1">
      <c r="K912" s="345"/>
      <c r="S912" s="437"/>
    </row>
    <row r="913" ht="15.75" customHeight="1">
      <c r="K913" s="345"/>
      <c r="S913" s="437"/>
    </row>
    <row r="914" ht="15.75" customHeight="1">
      <c r="K914" s="345"/>
      <c r="S914" s="437"/>
    </row>
    <row r="915" ht="15.75" customHeight="1">
      <c r="K915" s="345"/>
      <c r="S915" s="437"/>
    </row>
    <row r="916" ht="15.75" customHeight="1">
      <c r="K916" s="345"/>
      <c r="S916" s="437"/>
    </row>
    <row r="917" ht="15.75" customHeight="1">
      <c r="K917" s="345"/>
      <c r="S917" s="437"/>
    </row>
    <row r="918" ht="15.75" customHeight="1">
      <c r="K918" s="345"/>
      <c r="S918" s="437"/>
    </row>
    <row r="919" ht="15.75" customHeight="1">
      <c r="K919" s="345"/>
      <c r="S919" s="437"/>
    </row>
    <row r="920" ht="15.75" customHeight="1">
      <c r="K920" s="345"/>
      <c r="S920" s="437"/>
    </row>
    <row r="921" ht="15.75" customHeight="1">
      <c r="K921" s="345"/>
      <c r="S921" s="437"/>
    </row>
    <row r="922" ht="15.75" customHeight="1">
      <c r="K922" s="345"/>
      <c r="S922" s="437"/>
    </row>
    <row r="923" ht="15.75" customHeight="1">
      <c r="K923" s="345"/>
      <c r="S923" s="437"/>
    </row>
    <row r="924" ht="15.75" customHeight="1">
      <c r="K924" s="345"/>
      <c r="S924" s="437"/>
    </row>
    <row r="925" ht="15.75" customHeight="1">
      <c r="K925" s="345"/>
      <c r="S925" s="437"/>
    </row>
    <row r="926" ht="15.75" customHeight="1">
      <c r="K926" s="345"/>
      <c r="S926" s="437"/>
    </row>
    <row r="927" ht="15.75" customHeight="1">
      <c r="K927" s="345"/>
      <c r="S927" s="437"/>
    </row>
    <row r="928" ht="15.75" customHeight="1">
      <c r="K928" s="345"/>
      <c r="S928" s="437"/>
    </row>
    <row r="929" ht="15.75" customHeight="1">
      <c r="K929" s="345"/>
      <c r="S929" s="437"/>
    </row>
    <row r="930" ht="15.75" customHeight="1">
      <c r="K930" s="345"/>
      <c r="S930" s="437"/>
    </row>
    <row r="931" ht="15.75" customHeight="1">
      <c r="K931" s="345"/>
      <c r="S931" s="437"/>
    </row>
    <row r="932" ht="15.75" customHeight="1">
      <c r="K932" s="345"/>
      <c r="S932" s="437"/>
    </row>
    <row r="933" ht="15.75" customHeight="1">
      <c r="K933" s="345"/>
      <c r="S933" s="437"/>
    </row>
    <row r="934" ht="15.75" customHeight="1">
      <c r="K934" s="345"/>
      <c r="S934" s="437"/>
    </row>
    <row r="935" ht="15.75" customHeight="1">
      <c r="K935" s="345"/>
      <c r="S935" s="437"/>
    </row>
    <row r="936" ht="15.75" customHeight="1">
      <c r="K936" s="345"/>
      <c r="S936" s="437"/>
    </row>
    <row r="937" ht="15.75" customHeight="1">
      <c r="K937" s="345"/>
      <c r="S937" s="437"/>
    </row>
    <row r="938" ht="15.75" customHeight="1">
      <c r="K938" s="345"/>
      <c r="S938" s="437"/>
    </row>
    <row r="939" ht="15.75" customHeight="1">
      <c r="K939" s="345"/>
      <c r="S939" s="437"/>
    </row>
    <row r="940" ht="15.75" customHeight="1">
      <c r="K940" s="345"/>
      <c r="S940" s="437"/>
    </row>
    <row r="941" ht="15.75" customHeight="1">
      <c r="K941" s="345"/>
      <c r="S941" s="437"/>
    </row>
    <row r="942" ht="15.75" customHeight="1">
      <c r="K942" s="345"/>
      <c r="S942" s="437"/>
    </row>
    <row r="943" ht="15.75" customHeight="1">
      <c r="K943" s="345"/>
      <c r="S943" s="437"/>
    </row>
    <row r="944" ht="15.75" customHeight="1">
      <c r="K944" s="345"/>
      <c r="S944" s="437"/>
    </row>
    <row r="945" ht="15.75" customHeight="1">
      <c r="K945" s="345"/>
      <c r="S945" s="437"/>
    </row>
    <row r="946" ht="15.75" customHeight="1">
      <c r="K946" s="345"/>
      <c r="S946" s="437"/>
    </row>
    <row r="947" ht="15.75" customHeight="1">
      <c r="K947" s="345"/>
      <c r="S947" s="437"/>
    </row>
    <row r="948" ht="15.75" customHeight="1">
      <c r="K948" s="345"/>
      <c r="S948" s="437"/>
    </row>
    <row r="949" ht="15.75" customHeight="1">
      <c r="K949" s="345"/>
      <c r="S949" s="437"/>
    </row>
    <row r="950" ht="15.75" customHeight="1">
      <c r="K950" s="345"/>
      <c r="S950" s="437"/>
    </row>
    <row r="951" ht="15.75" customHeight="1">
      <c r="K951" s="345"/>
      <c r="S951" s="437"/>
    </row>
    <row r="952" ht="15.75" customHeight="1">
      <c r="K952" s="345"/>
      <c r="S952" s="437"/>
    </row>
    <row r="953" ht="15.75" customHeight="1">
      <c r="K953" s="345"/>
      <c r="S953" s="437"/>
    </row>
    <row r="954" ht="15.75" customHeight="1">
      <c r="K954" s="345"/>
      <c r="S954" s="437"/>
    </row>
    <row r="955" ht="15.75" customHeight="1">
      <c r="K955" s="345"/>
      <c r="S955" s="437"/>
    </row>
    <row r="956" ht="15.75" customHeight="1">
      <c r="K956" s="345"/>
      <c r="S956" s="437"/>
    </row>
    <row r="957" ht="15.75" customHeight="1">
      <c r="K957" s="345"/>
      <c r="S957" s="437"/>
    </row>
    <row r="958" ht="15.75" customHeight="1">
      <c r="K958" s="345"/>
      <c r="S958" s="437"/>
    </row>
    <row r="959" ht="15.75" customHeight="1">
      <c r="K959" s="345"/>
      <c r="S959" s="437"/>
    </row>
    <row r="960" ht="15.75" customHeight="1">
      <c r="K960" s="345"/>
      <c r="S960" s="437"/>
    </row>
    <row r="961" ht="15.75" customHeight="1">
      <c r="K961" s="345"/>
      <c r="S961" s="437"/>
    </row>
    <row r="962" ht="15.75" customHeight="1">
      <c r="K962" s="345"/>
      <c r="S962" s="437"/>
    </row>
    <row r="963" ht="15.75" customHeight="1">
      <c r="K963" s="345"/>
      <c r="S963" s="437"/>
    </row>
    <row r="964" ht="15.75" customHeight="1">
      <c r="K964" s="345"/>
      <c r="S964" s="437"/>
    </row>
    <row r="965" ht="15.75" customHeight="1">
      <c r="K965" s="345"/>
      <c r="S965" s="437"/>
    </row>
    <row r="966" ht="15.75" customHeight="1">
      <c r="K966" s="345"/>
      <c r="S966" s="437"/>
    </row>
    <row r="967" ht="15.75" customHeight="1">
      <c r="K967" s="345"/>
      <c r="S967" s="437"/>
    </row>
    <row r="968" ht="15.75" customHeight="1">
      <c r="K968" s="345"/>
      <c r="S968" s="437"/>
    </row>
    <row r="969" ht="15.75" customHeight="1">
      <c r="K969" s="345"/>
      <c r="S969" s="437"/>
    </row>
    <row r="970" ht="15.75" customHeight="1">
      <c r="K970" s="345"/>
      <c r="S970" s="437"/>
    </row>
    <row r="971" ht="15.75" customHeight="1">
      <c r="K971" s="345"/>
      <c r="S971" s="437"/>
    </row>
    <row r="972" ht="15.75" customHeight="1">
      <c r="K972" s="345"/>
      <c r="S972" s="437"/>
    </row>
    <row r="973" ht="15.75" customHeight="1">
      <c r="K973" s="345"/>
      <c r="S973" s="437"/>
    </row>
    <row r="974" ht="15.75" customHeight="1">
      <c r="K974" s="345"/>
      <c r="S974" s="437"/>
    </row>
    <row r="975" ht="15.75" customHeight="1">
      <c r="K975" s="345"/>
      <c r="S975" s="437"/>
    </row>
    <row r="976" ht="15.75" customHeight="1">
      <c r="K976" s="345"/>
      <c r="S976" s="437"/>
    </row>
    <row r="977" ht="15.75" customHeight="1">
      <c r="K977" s="345"/>
      <c r="S977" s="437"/>
    </row>
    <row r="978" ht="15.75" customHeight="1">
      <c r="K978" s="345"/>
      <c r="S978" s="437"/>
    </row>
    <row r="979" ht="15.75" customHeight="1">
      <c r="K979" s="345"/>
      <c r="S979" s="437"/>
    </row>
    <row r="980" ht="15.75" customHeight="1">
      <c r="K980" s="345"/>
      <c r="S980" s="437"/>
    </row>
    <row r="981" ht="15.75" customHeight="1">
      <c r="K981" s="345"/>
      <c r="S981" s="437"/>
    </row>
    <row r="982" ht="15.75" customHeight="1">
      <c r="K982" s="345"/>
      <c r="S982" s="437"/>
    </row>
    <row r="983" ht="15.75" customHeight="1">
      <c r="K983" s="345"/>
      <c r="S983" s="437"/>
    </row>
    <row r="984" ht="15.75" customHeight="1">
      <c r="K984" s="345"/>
      <c r="S984" s="437"/>
    </row>
    <row r="985" ht="15.75" customHeight="1">
      <c r="K985" s="345"/>
      <c r="S985" s="437"/>
    </row>
    <row r="986" ht="15.75" customHeight="1">
      <c r="K986" s="345"/>
      <c r="S986" s="437"/>
    </row>
    <row r="987" ht="15.75" customHeight="1">
      <c r="K987" s="345"/>
      <c r="S987" s="437"/>
    </row>
    <row r="988" ht="15.75" customHeight="1">
      <c r="K988" s="345"/>
      <c r="S988" s="437"/>
    </row>
    <row r="989" ht="15.75" customHeight="1">
      <c r="K989" s="345"/>
      <c r="S989" s="437"/>
    </row>
    <row r="990" ht="15.75" customHeight="1">
      <c r="K990" s="345"/>
      <c r="S990" s="437"/>
    </row>
    <row r="991" ht="15.75" customHeight="1">
      <c r="K991" s="345"/>
      <c r="S991" s="437"/>
    </row>
    <row r="992" ht="15.75" customHeight="1">
      <c r="K992" s="345"/>
      <c r="S992" s="437"/>
    </row>
    <row r="993" ht="15.75" customHeight="1">
      <c r="K993" s="345"/>
      <c r="S993" s="437"/>
    </row>
  </sheetData>
  <mergeCells count="66">
    <mergeCell ref="B7:B14"/>
    <mergeCell ref="C7:C14"/>
    <mergeCell ref="A15:D15"/>
    <mergeCell ref="A25:A36"/>
    <mergeCell ref="B25:B36"/>
    <mergeCell ref="C25:C36"/>
    <mergeCell ref="D25:D36"/>
    <mergeCell ref="A44:A50"/>
    <mergeCell ref="A51:A58"/>
    <mergeCell ref="B51:B58"/>
    <mergeCell ref="C51:C58"/>
    <mergeCell ref="D51:D58"/>
    <mergeCell ref="F56:F57"/>
    <mergeCell ref="A74:F74"/>
    <mergeCell ref="E25:E36"/>
    <mergeCell ref="A38:F38"/>
    <mergeCell ref="A42:F42"/>
    <mergeCell ref="B44:B50"/>
    <mergeCell ref="C44:C50"/>
    <mergeCell ref="D44:D50"/>
    <mergeCell ref="F45:F46"/>
    <mergeCell ref="J7:J11"/>
    <mergeCell ref="M7:M10"/>
    <mergeCell ref="O1:Z1"/>
    <mergeCell ref="A2:L2"/>
    <mergeCell ref="O2:S2"/>
    <mergeCell ref="A4:L4"/>
    <mergeCell ref="B5:F5"/>
    <mergeCell ref="H5:L5"/>
    <mergeCell ref="A7:A14"/>
    <mergeCell ref="O23:S23"/>
    <mergeCell ref="O24:S24"/>
    <mergeCell ref="J12:J14"/>
    <mergeCell ref="H15:K15"/>
    <mergeCell ref="A16:L16"/>
    <mergeCell ref="A22:L22"/>
    <mergeCell ref="N22:Y22"/>
    <mergeCell ref="B23:F23"/>
    <mergeCell ref="H23:L23"/>
    <mergeCell ref="J32:J36"/>
    <mergeCell ref="K32:K36"/>
    <mergeCell ref="H38:L38"/>
    <mergeCell ref="O40:Z40"/>
    <mergeCell ref="A41:L41"/>
    <mergeCell ref="O41:S41"/>
    <mergeCell ref="H42:L42"/>
    <mergeCell ref="O42:S42"/>
    <mergeCell ref="D7:D14"/>
    <mergeCell ref="H7:H13"/>
    <mergeCell ref="E8:E14"/>
    <mergeCell ref="H25:H31"/>
    <mergeCell ref="J25:J31"/>
    <mergeCell ref="K25:K31"/>
    <mergeCell ref="H32:H36"/>
    <mergeCell ref="F34:F36"/>
    <mergeCell ref="G53:G54"/>
    <mergeCell ref="G55:G56"/>
    <mergeCell ref="G57:G58"/>
    <mergeCell ref="H59:K59"/>
    <mergeCell ref="E44:E50"/>
    <mergeCell ref="H44:H53"/>
    <mergeCell ref="J44:J49"/>
    <mergeCell ref="K44:K49"/>
    <mergeCell ref="J50:J53"/>
    <mergeCell ref="K50:K53"/>
    <mergeCell ref="G51:G52"/>
  </mergeCells>
  <printOptions/>
  <pageMargins bottom="0.75" footer="0.0" header="0.0" left="0.7" right="0.7" top="0.75"/>
  <pageSetup scale="8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9.0"/>
    <col customWidth="1" min="3" max="3" width="10.25"/>
    <col customWidth="1" min="4" max="4" width="11.38"/>
    <col customWidth="1" min="5" max="5" width="10.5"/>
    <col customWidth="1" min="6" max="6" width="19.0"/>
    <col customWidth="1" min="7" max="7" width="4.38"/>
    <col customWidth="1" min="8" max="8" width="8.63"/>
    <col customWidth="1" min="9" max="9" width="10.88"/>
    <col customWidth="1" min="10" max="10" width="9.25"/>
    <col customWidth="1" min="11" max="11" width="9.38"/>
    <col customWidth="1" min="12" max="12" width="16.38"/>
    <col customWidth="1" min="13" max="13" width="4.5"/>
    <col customWidth="1" min="14" max="14" width="5.5"/>
    <col customWidth="1" min="15" max="15" width="22.38"/>
    <col customWidth="1" min="16" max="16" width="17.38"/>
    <col customWidth="1" min="17" max="17" width="10.13"/>
    <col customWidth="1" min="18" max="18" width="12.63"/>
    <col customWidth="1" min="19" max="19" width="18.88"/>
    <col customWidth="1" min="20" max="26" width="8.63"/>
  </cols>
  <sheetData>
    <row r="1">
      <c r="A1" s="314" t="s">
        <v>264</v>
      </c>
    </row>
    <row r="2">
      <c r="A2" s="524"/>
      <c r="B2" s="524"/>
      <c r="C2" s="524"/>
      <c r="D2" s="524"/>
      <c r="E2" s="524"/>
      <c r="F2" s="524"/>
      <c r="G2" s="524"/>
      <c r="H2" s="524"/>
      <c r="I2" s="524"/>
      <c r="J2" s="524"/>
      <c r="K2" s="524"/>
      <c r="L2" s="524"/>
    </row>
    <row r="3">
      <c r="A3" s="525" t="s">
        <v>327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2"/>
    </row>
    <row r="4">
      <c r="A4" s="103"/>
      <c r="B4" s="104" t="s">
        <v>2</v>
      </c>
      <c r="C4" s="105"/>
      <c r="D4" s="105"/>
      <c r="E4" s="105"/>
      <c r="F4" s="106"/>
      <c r="G4" s="107"/>
      <c r="H4" s="104" t="s">
        <v>3</v>
      </c>
      <c r="I4" s="105"/>
      <c r="J4" s="105"/>
      <c r="K4" s="105"/>
      <c r="L4" s="106"/>
      <c r="O4" s="317" t="s">
        <v>328</v>
      </c>
    </row>
    <row r="5">
      <c r="A5" s="109"/>
      <c r="B5" s="110" t="s">
        <v>10</v>
      </c>
      <c r="C5" s="111" t="s">
        <v>103</v>
      </c>
      <c r="D5" s="110" t="s">
        <v>12</v>
      </c>
      <c r="E5" s="110" t="s">
        <v>104</v>
      </c>
      <c r="F5" s="110" t="s">
        <v>14</v>
      </c>
      <c r="G5" s="112"/>
      <c r="H5" s="110" t="s">
        <v>105</v>
      </c>
      <c r="I5" s="110" t="s">
        <v>106</v>
      </c>
      <c r="J5" s="110" t="s">
        <v>107</v>
      </c>
      <c r="K5" s="110" t="s">
        <v>108</v>
      </c>
      <c r="L5" s="110" t="s">
        <v>109</v>
      </c>
      <c r="O5" s="526" t="s">
        <v>4</v>
      </c>
      <c r="P5" s="526" t="s">
        <v>5</v>
      </c>
      <c r="Q5" s="526" t="s">
        <v>267</v>
      </c>
      <c r="R5" s="526" t="s">
        <v>7</v>
      </c>
      <c r="S5" s="527" t="s">
        <v>8</v>
      </c>
    </row>
    <row r="6">
      <c r="A6" s="528" t="s">
        <v>329</v>
      </c>
      <c r="B6" s="116" t="s">
        <v>93</v>
      </c>
      <c r="C6" s="116">
        <v>20.0</v>
      </c>
      <c r="D6" s="529" t="s">
        <v>330</v>
      </c>
      <c r="E6" s="530" t="s">
        <v>87</v>
      </c>
      <c r="F6" s="531" t="s">
        <v>212</v>
      </c>
      <c r="G6" s="119"/>
      <c r="H6" s="138" t="s">
        <v>93</v>
      </c>
      <c r="I6" s="120">
        <v>10.0</v>
      </c>
      <c r="J6" s="138" t="s">
        <v>330</v>
      </c>
      <c r="K6" s="121" t="s">
        <v>94</v>
      </c>
      <c r="L6" s="532" t="s">
        <v>252</v>
      </c>
      <c r="O6" s="331" t="s">
        <v>212</v>
      </c>
      <c r="P6" s="332" t="s">
        <v>16</v>
      </c>
      <c r="Q6" s="332">
        <v>3.5</v>
      </c>
      <c r="R6" s="328">
        <v>300.0</v>
      </c>
      <c r="S6" s="533">
        <f t="shared" ref="S6:S10" si="1">+Q6*R6</f>
        <v>1050</v>
      </c>
    </row>
    <row r="7">
      <c r="A7" s="65"/>
      <c r="B7" s="65"/>
      <c r="C7" s="65"/>
      <c r="D7" s="65"/>
      <c r="E7" s="65"/>
      <c r="F7" s="531" t="s">
        <v>213</v>
      </c>
      <c r="G7" s="119"/>
      <c r="H7" s="65"/>
      <c r="I7" s="120">
        <v>10.0</v>
      </c>
      <c r="J7" s="65"/>
      <c r="K7" s="65"/>
      <c r="L7" s="532" t="s">
        <v>229</v>
      </c>
      <c r="O7" s="331" t="s">
        <v>213</v>
      </c>
      <c r="P7" s="332" t="s">
        <v>16</v>
      </c>
      <c r="Q7" s="332">
        <v>3.5</v>
      </c>
      <c r="R7" s="328">
        <v>300.0</v>
      </c>
      <c r="S7" s="533">
        <f t="shared" si="1"/>
        <v>1050</v>
      </c>
    </row>
    <row r="8">
      <c r="A8" s="65"/>
      <c r="B8" s="65"/>
      <c r="C8" s="65"/>
      <c r="D8" s="65"/>
      <c r="E8" s="65"/>
      <c r="F8" s="126"/>
      <c r="G8" s="119"/>
      <c r="H8" s="65"/>
      <c r="I8" s="127"/>
      <c r="J8" s="65"/>
      <c r="K8" s="65"/>
      <c r="L8" s="128"/>
      <c r="O8" s="331" t="s">
        <v>331</v>
      </c>
      <c r="P8" s="332" t="s">
        <v>36</v>
      </c>
      <c r="Q8" s="332">
        <v>1.0</v>
      </c>
      <c r="R8" s="351">
        <v>1800.0</v>
      </c>
      <c r="S8" s="533">
        <f t="shared" si="1"/>
        <v>1800</v>
      </c>
    </row>
    <row r="9">
      <c r="A9" s="73"/>
      <c r="B9" s="73"/>
      <c r="C9" s="73"/>
      <c r="D9" s="73"/>
      <c r="E9" s="73"/>
      <c r="F9" s="129"/>
      <c r="G9" s="119"/>
      <c r="H9" s="73"/>
      <c r="I9" s="127"/>
      <c r="J9" s="73"/>
      <c r="K9" s="73"/>
      <c r="L9" s="128"/>
      <c r="O9" s="331" t="s">
        <v>229</v>
      </c>
      <c r="P9" s="332" t="s">
        <v>36</v>
      </c>
      <c r="Q9" s="327">
        <f>1.5+1.5</f>
        <v>3</v>
      </c>
      <c r="R9" s="328">
        <v>300.0</v>
      </c>
      <c r="S9" s="533">
        <f t="shared" si="1"/>
        <v>900</v>
      </c>
    </row>
    <row r="10">
      <c r="A10" s="528" t="s">
        <v>329</v>
      </c>
      <c r="B10" s="116" t="s">
        <v>98</v>
      </c>
      <c r="C10" s="116">
        <v>20.0</v>
      </c>
      <c r="D10" s="529" t="s">
        <v>330</v>
      </c>
      <c r="E10" s="530" t="s">
        <v>332</v>
      </c>
      <c r="F10" s="531" t="s">
        <v>212</v>
      </c>
      <c r="G10" s="119"/>
      <c r="H10" s="138" t="s">
        <v>98</v>
      </c>
      <c r="I10" s="120">
        <v>10.0</v>
      </c>
      <c r="J10" s="138" t="s">
        <v>330</v>
      </c>
      <c r="K10" s="121" t="s">
        <v>87</v>
      </c>
      <c r="L10" s="532" t="s">
        <v>252</v>
      </c>
      <c r="O10" s="331" t="s">
        <v>207</v>
      </c>
      <c r="P10" s="332" t="s">
        <v>32</v>
      </c>
      <c r="Q10" s="327">
        <v>4.0</v>
      </c>
      <c r="R10" s="351">
        <v>200.0</v>
      </c>
      <c r="S10" s="534">
        <f t="shared" si="1"/>
        <v>800</v>
      </c>
    </row>
    <row r="11">
      <c r="A11" s="65"/>
      <c r="B11" s="65"/>
      <c r="C11" s="65"/>
      <c r="D11" s="65"/>
      <c r="E11" s="65"/>
      <c r="F11" s="531" t="s">
        <v>213</v>
      </c>
      <c r="G11" s="119"/>
      <c r="H11" s="65"/>
      <c r="I11" s="120">
        <v>10.0</v>
      </c>
      <c r="J11" s="65"/>
      <c r="K11" s="65"/>
      <c r="L11" s="532" t="s">
        <v>229</v>
      </c>
      <c r="O11" s="535"/>
      <c r="P11" s="535"/>
      <c r="Q11" s="535"/>
      <c r="R11" s="536" t="s">
        <v>77</v>
      </c>
      <c r="S11" s="537">
        <f>SUM(S6:S10)</f>
        <v>5600</v>
      </c>
    </row>
    <row r="12">
      <c r="A12" s="65"/>
      <c r="B12" s="65"/>
      <c r="C12" s="65"/>
      <c r="D12" s="65"/>
      <c r="E12" s="65"/>
      <c r="F12" s="126"/>
      <c r="G12" s="119"/>
      <c r="H12" s="65"/>
      <c r="I12" s="127"/>
      <c r="J12" s="65"/>
      <c r="K12" s="65"/>
      <c r="L12" s="532" t="s">
        <v>333</v>
      </c>
    </row>
    <row r="13" ht="15.0" customHeight="1">
      <c r="A13" s="73"/>
      <c r="B13" s="73"/>
      <c r="C13" s="73"/>
      <c r="D13" s="73"/>
      <c r="E13" s="73"/>
      <c r="F13" s="129"/>
      <c r="G13" s="119"/>
      <c r="H13" s="73"/>
      <c r="I13" s="127"/>
      <c r="J13" s="73"/>
      <c r="K13" s="73"/>
      <c r="L13" s="128"/>
    </row>
    <row r="14">
      <c r="A14" s="538"/>
      <c r="B14" s="538"/>
      <c r="C14" s="538"/>
      <c r="D14" s="538"/>
      <c r="E14" s="538"/>
      <c r="F14" s="538"/>
      <c r="G14" s="522"/>
      <c r="H14" s="539"/>
      <c r="I14" s="539"/>
      <c r="J14" s="539"/>
      <c r="K14" s="539"/>
      <c r="L14" s="523"/>
      <c r="O14" s="540"/>
      <c r="P14" s="540"/>
      <c r="Q14" s="540"/>
    </row>
    <row r="15">
      <c r="O15" s="540"/>
      <c r="P15" s="540"/>
      <c r="Q15" s="540"/>
    </row>
    <row r="16">
      <c r="O16" s="540"/>
      <c r="P16" s="540"/>
      <c r="Q16" s="540"/>
    </row>
    <row r="17">
      <c r="O17" s="540"/>
      <c r="P17" s="540"/>
      <c r="Q17" s="540"/>
    </row>
    <row r="18">
      <c r="A18" s="541" t="s">
        <v>334</v>
      </c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2"/>
      <c r="O18" s="317" t="s">
        <v>335</v>
      </c>
    </row>
    <row r="19">
      <c r="A19" s="103"/>
      <c r="B19" s="542" t="s">
        <v>2</v>
      </c>
      <c r="C19" s="543"/>
      <c r="D19" s="543"/>
      <c r="E19" s="543"/>
      <c r="F19" s="544"/>
      <c r="G19" s="545"/>
      <c r="H19" s="542" t="s">
        <v>3</v>
      </c>
      <c r="I19" s="543"/>
      <c r="J19" s="543"/>
      <c r="K19" s="543"/>
      <c r="L19" s="544"/>
      <c r="O19" s="546" t="s">
        <v>4</v>
      </c>
      <c r="P19" s="546" t="s">
        <v>5</v>
      </c>
      <c r="Q19" s="546" t="s">
        <v>267</v>
      </c>
      <c r="R19" s="546" t="s">
        <v>7</v>
      </c>
      <c r="S19" s="547" t="s">
        <v>8</v>
      </c>
    </row>
    <row r="20">
      <c r="A20" s="548"/>
      <c r="B20" s="549" t="s">
        <v>336</v>
      </c>
      <c r="C20" s="549" t="s">
        <v>337</v>
      </c>
      <c r="D20" s="549" t="s">
        <v>338</v>
      </c>
      <c r="E20" s="549" t="s">
        <v>339</v>
      </c>
      <c r="F20" s="549" t="s">
        <v>340</v>
      </c>
      <c r="G20" s="550"/>
      <c r="H20" s="549" t="s">
        <v>105</v>
      </c>
      <c r="I20" s="549" t="s">
        <v>337</v>
      </c>
      <c r="J20" s="549" t="s">
        <v>107</v>
      </c>
      <c r="K20" s="551" t="s">
        <v>108</v>
      </c>
      <c r="L20" s="551" t="s">
        <v>109</v>
      </c>
      <c r="O20" s="331" t="s">
        <v>212</v>
      </c>
      <c r="P20" s="552" t="s">
        <v>341</v>
      </c>
      <c r="Q20" s="552">
        <f>2+3</f>
        <v>5</v>
      </c>
      <c r="R20" s="553">
        <v>300.0</v>
      </c>
      <c r="S20" s="553">
        <f t="shared" ref="S20:S27" si="2">+Q20*R20</f>
        <v>1500</v>
      </c>
    </row>
    <row r="21" ht="21.0" customHeight="1">
      <c r="A21" s="554" t="s">
        <v>329</v>
      </c>
      <c r="B21" s="335" t="s">
        <v>200</v>
      </c>
      <c r="C21" s="335">
        <v>77.0</v>
      </c>
      <c r="D21" s="555" t="s">
        <v>342</v>
      </c>
      <c r="E21" s="556" t="s">
        <v>317</v>
      </c>
      <c r="F21" s="557" t="s">
        <v>212</v>
      </c>
      <c r="G21" s="558"/>
      <c r="H21" s="559" t="s">
        <v>200</v>
      </c>
      <c r="I21" s="560">
        <v>14.0</v>
      </c>
      <c r="J21" s="555" t="s">
        <v>342</v>
      </c>
      <c r="K21" s="561" t="s">
        <v>250</v>
      </c>
      <c r="L21" s="562" t="s">
        <v>343</v>
      </c>
      <c r="O21" s="331" t="s">
        <v>207</v>
      </c>
      <c r="P21" s="552" t="s">
        <v>36</v>
      </c>
      <c r="Q21" s="552">
        <v>2.0</v>
      </c>
      <c r="R21" s="553">
        <v>300.0</v>
      </c>
      <c r="S21" s="553">
        <f t="shared" si="2"/>
        <v>600</v>
      </c>
    </row>
    <row r="22" ht="30.75" customHeight="1">
      <c r="A22" s="30"/>
      <c r="B22" s="30"/>
      <c r="C22" s="30"/>
      <c r="D22" s="30"/>
      <c r="E22" s="30"/>
      <c r="F22" s="563" t="s">
        <v>179</v>
      </c>
      <c r="G22" s="558"/>
      <c r="H22" s="30"/>
      <c r="I22" s="560">
        <v>14.0</v>
      </c>
      <c r="J22" s="30"/>
      <c r="K22" s="561" t="s">
        <v>250</v>
      </c>
      <c r="L22" s="562" t="s">
        <v>207</v>
      </c>
      <c r="O22" s="331" t="s">
        <v>344</v>
      </c>
      <c r="P22" s="552" t="s">
        <v>36</v>
      </c>
      <c r="Q22" s="552">
        <v>2.0</v>
      </c>
      <c r="R22" s="564">
        <v>300.0</v>
      </c>
      <c r="S22" s="553">
        <f t="shared" si="2"/>
        <v>600</v>
      </c>
    </row>
    <row r="23" ht="21.75" customHeight="1">
      <c r="A23" s="30"/>
      <c r="B23" s="30"/>
      <c r="C23" s="30"/>
      <c r="D23" s="30"/>
      <c r="E23" s="30"/>
      <c r="F23" s="557" t="s">
        <v>112</v>
      </c>
      <c r="G23" s="558"/>
      <c r="H23" s="30"/>
      <c r="I23" s="560">
        <v>14.0</v>
      </c>
      <c r="J23" s="30"/>
      <c r="K23" s="561" t="s">
        <v>250</v>
      </c>
      <c r="L23" s="565" t="s">
        <v>280</v>
      </c>
      <c r="O23" s="331" t="s">
        <v>345</v>
      </c>
      <c r="P23" s="552" t="s">
        <v>36</v>
      </c>
      <c r="Q23" s="552">
        <v>2.0</v>
      </c>
      <c r="R23" s="553">
        <v>300.0</v>
      </c>
      <c r="S23" s="553">
        <f t="shared" si="2"/>
        <v>600</v>
      </c>
    </row>
    <row r="24" ht="15.75" customHeight="1">
      <c r="A24" s="30"/>
      <c r="B24" s="30"/>
      <c r="C24" s="30"/>
      <c r="D24" s="30"/>
      <c r="E24" s="30"/>
      <c r="F24" s="566" t="s">
        <v>346</v>
      </c>
      <c r="G24" s="558"/>
      <c r="H24" s="30"/>
      <c r="I24" s="560">
        <v>13.0</v>
      </c>
      <c r="J24" s="30"/>
      <c r="K24" s="561" t="s">
        <v>250</v>
      </c>
      <c r="L24" s="562" t="s">
        <v>344</v>
      </c>
      <c r="O24" s="331" t="s">
        <v>112</v>
      </c>
      <c r="P24" s="552" t="s">
        <v>341</v>
      </c>
      <c r="Q24" s="552">
        <v>1.0</v>
      </c>
      <c r="R24" s="564">
        <v>1800.0</v>
      </c>
      <c r="S24" s="553">
        <f t="shared" si="2"/>
        <v>1800</v>
      </c>
    </row>
    <row r="25" ht="15.75" customHeight="1">
      <c r="A25" s="30"/>
      <c r="B25" s="30"/>
      <c r="C25" s="30"/>
      <c r="D25" s="30"/>
      <c r="E25" s="30"/>
      <c r="F25" s="567" t="s">
        <v>229</v>
      </c>
      <c r="G25" s="558"/>
      <c r="H25" s="30"/>
      <c r="I25" s="560">
        <v>12.0</v>
      </c>
      <c r="J25" s="30"/>
      <c r="K25" s="561" t="s">
        <v>250</v>
      </c>
      <c r="L25" s="562" t="s">
        <v>345</v>
      </c>
      <c r="O25" s="331" t="s">
        <v>321</v>
      </c>
      <c r="P25" s="331" t="s">
        <v>16</v>
      </c>
      <c r="Q25" s="552">
        <v>2.5</v>
      </c>
      <c r="R25" s="553">
        <v>300.0</v>
      </c>
      <c r="S25" s="553">
        <f t="shared" si="2"/>
        <v>750</v>
      </c>
    </row>
    <row r="26" ht="15.75" customHeight="1">
      <c r="A26" s="36"/>
      <c r="B26" s="36"/>
      <c r="C26" s="36"/>
      <c r="D26" s="36"/>
      <c r="E26" s="36"/>
      <c r="F26" s="566" t="s">
        <v>347</v>
      </c>
      <c r="G26" s="558"/>
      <c r="H26" s="36"/>
      <c r="I26" s="560">
        <v>10.0</v>
      </c>
      <c r="J26" s="30"/>
      <c r="K26" s="561" t="s">
        <v>250</v>
      </c>
      <c r="L26" s="562" t="s">
        <v>112</v>
      </c>
      <c r="O26" s="568" t="s">
        <v>115</v>
      </c>
      <c r="P26" s="568" t="s">
        <v>16</v>
      </c>
      <c r="Q26" s="552">
        <v>2.5</v>
      </c>
      <c r="R26" s="553">
        <v>300.0</v>
      </c>
      <c r="S26" s="553">
        <f t="shared" si="2"/>
        <v>750</v>
      </c>
    </row>
    <row r="27" ht="15.75" customHeight="1">
      <c r="A27" s="318"/>
      <c r="B27" s="318"/>
      <c r="C27" s="318"/>
      <c r="D27" s="318"/>
      <c r="E27" s="318"/>
      <c r="F27" s="569"/>
      <c r="G27" s="318"/>
      <c r="H27" s="570" t="s">
        <v>77</v>
      </c>
      <c r="I27" s="570">
        <f>SUM(I21:I26)</f>
        <v>77</v>
      </c>
      <c r="J27" s="36"/>
      <c r="K27" s="571" t="s">
        <v>32</v>
      </c>
      <c r="L27" s="572" t="s">
        <v>348</v>
      </c>
      <c r="O27" s="568" t="s">
        <v>165</v>
      </c>
      <c r="P27" s="568" t="s">
        <v>16</v>
      </c>
      <c r="Q27" s="552">
        <v>2.5</v>
      </c>
      <c r="R27" s="553">
        <v>300.0</v>
      </c>
      <c r="S27" s="553">
        <f t="shared" si="2"/>
        <v>750</v>
      </c>
    </row>
    <row r="28" ht="15.75" customHeight="1">
      <c r="A28" s="318"/>
      <c r="B28" s="318"/>
      <c r="C28" s="318"/>
      <c r="D28" s="318"/>
      <c r="E28" s="318"/>
      <c r="F28" s="318"/>
      <c r="G28" s="318"/>
      <c r="H28" s="318"/>
      <c r="I28" s="318"/>
      <c r="J28" s="318"/>
      <c r="K28" s="318"/>
      <c r="L28" s="318"/>
      <c r="R28" s="573" t="s">
        <v>77</v>
      </c>
      <c r="S28" s="574">
        <f>SUM(S20:S27)</f>
        <v>7350</v>
      </c>
    </row>
    <row r="29" ht="15.75" customHeight="1">
      <c r="A29" s="318"/>
      <c r="B29" s="318"/>
      <c r="D29" s="318"/>
      <c r="E29" s="318"/>
      <c r="F29" s="318"/>
      <c r="G29" s="318"/>
      <c r="H29" s="318"/>
      <c r="I29" s="318"/>
      <c r="J29" s="318"/>
      <c r="K29" s="318"/>
      <c r="L29" s="318"/>
      <c r="O29" s="575"/>
    </row>
    <row r="30" ht="15.75" customHeight="1">
      <c r="A30" s="525" t="s">
        <v>349</v>
      </c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2"/>
    </row>
    <row r="31" ht="15.75" customHeight="1">
      <c r="A31" s="103"/>
      <c r="B31" s="104" t="s">
        <v>2</v>
      </c>
      <c r="C31" s="105"/>
      <c r="D31" s="105"/>
      <c r="E31" s="105"/>
      <c r="F31" s="106"/>
      <c r="G31" s="107"/>
      <c r="H31" s="104" t="s">
        <v>3</v>
      </c>
      <c r="I31" s="105"/>
      <c r="J31" s="105"/>
      <c r="K31" s="105"/>
      <c r="L31" s="106"/>
      <c r="O31" s="317" t="s">
        <v>350</v>
      </c>
    </row>
    <row r="32" ht="15.75" customHeight="1">
      <c r="A32" s="109"/>
      <c r="B32" s="110" t="s">
        <v>10</v>
      </c>
      <c r="C32" s="111" t="s">
        <v>103</v>
      </c>
      <c r="D32" s="110" t="s">
        <v>12</v>
      </c>
      <c r="E32" s="110" t="s">
        <v>104</v>
      </c>
      <c r="F32" s="110" t="s">
        <v>14</v>
      </c>
      <c r="G32" s="112"/>
      <c r="H32" s="110" t="s">
        <v>105</v>
      </c>
      <c r="I32" s="110" t="s">
        <v>106</v>
      </c>
      <c r="J32" s="110" t="s">
        <v>107</v>
      </c>
      <c r="K32" s="110" t="s">
        <v>108</v>
      </c>
      <c r="L32" s="110" t="s">
        <v>109</v>
      </c>
      <c r="O32" s="576" t="s">
        <v>4</v>
      </c>
      <c r="P32" s="576" t="s">
        <v>5</v>
      </c>
      <c r="Q32" s="576" t="s">
        <v>267</v>
      </c>
      <c r="R32" s="576" t="s">
        <v>7</v>
      </c>
      <c r="S32" s="577" t="s">
        <v>8</v>
      </c>
    </row>
    <row r="33" ht="15.75" customHeight="1">
      <c r="A33" s="528" t="s">
        <v>329</v>
      </c>
      <c r="B33" s="116" t="s">
        <v>98</v>
      </c>
      <c r="C33" s="116">
        <v>63.0</v>
      </c>
      <c r="D33" s="529" t="s">
        <v>351</v>
      </c>
      <c r="E33" s="115" t="s">
        <v>352</v>
      </c>
      <c r="F33" s="531" t="s">
        <v>188</v>
      </c>
      <c r="G33" s="119"/>
      <c r="H33" s="138" t="s">
        <v>98</v>
      </c>
      <c r="I33" s="578">
        <v>23.0</v>
      </c>
      <c r="J33" s="138" t="s">
        <v>351</v>
      </c>
      <c r="K33" s="133" t="s">
        <v>353</v>
      </c>
      <c r="L33" s="532" t="s">
        <v>354</v>
      </c>
      <c r="O33" s="579" t="s">
        <v>188</v>
      </c>
      <c r="P33" s="580" t="s">
        <v>16</v>
      </c>
      <c r="Q33" s="580">
        <v>4.0</v>
      </c>
      <c r="R33" s="581">
        <v>300.0</v>
      </c>
      <c r="S33" s="582">
        <f t="shared" ref="S33:S37" si="3">+Q33*R33</f>
        <v>1200</v>
      </c>
    </row>
    <row r="34" ht="15.75" customHeight="1">
      <c r="A34" s="65"/>
      <c r="B34" s="65"/>
      <c r="C34" s="65"/>
      <c r="D34" s="65"/>
      <c r="E34" s="65"/>
      <c r="F34" s="583" t="s">
        <v>213</v>
      </c>
      <c r="G34" s="119"/>
      <c r="H34" s="65"/>
      <c r="I34" s="578">
        <v>20.0</v>
      </c>
      <c r="J34" s="65"/>
      <c r="K34" s="65"/>
      <c r="L34" s="122" t="s">
        <v>355</v>
      </c>
      <c r="O34" s="579" t="s">
        <v>356</v>
      </c>
      <c r="P34" s="580" t="s">
        <v>16</v>
      </c>
      <c r="Q34" s="580">
        <v>4.0</v>
      </c>
      <c r="R34" s="581">
        <v>300.0</v>
      </c>
      <c r="S34" s="582">
        <f t="shared" si="3"/>
        <v>1200</v>
      </c>
    </row>
    <row r="35" ht="15.75" customHeight="1">
      <c r="A35" s="65"/>
      <c r="B35" s="65"/>
      <c r="C35" s="65"/>
      <c r="D35" s="65"/>
      <c r="E35" s="65"/>
      <c r="F35" s="584" t="s">
        <v>115</v>
      </c>
      <c r="G35" s="119"/>
      <c r="H35" s="73"/>
      <c r="I35" s="578">
        <v>20.0</v>
      </c>
      <c r="J35" s="65"/>
      <c r="K35" s="65"/>
      <c r="L35" s="122" t="s">
        <v>357</v>
      </c>
      <c r="O35" s="579" t="s">
        <v>115</v>
      </c>
      <c r="P35" s="580" t="s">
        <v>358</v>
      </c>
      <c r="Q35" s="580">
        <v>1.0</v>
      </c>
      <c r="R35" s="581">
        <v>1800.0</v>
      </c>
      <c r="S35" s="582">
        <f t="shared" si="3"/>
        <v>1800</v>
      </c>
    </row>
    <row r="36" ht="21.0" customHeight="1">
      <c r="A36" s="73"/>
      <c r="B36" s="73"/>
      <c r="C36" s="73"/>
      <c r="D36" s="73"/>
      <c r="E36" s="73"/>
      <c r="F36" s="406"/>
      <c r="G36" s="119"/>
      <c r="H36" s="585" t="s">
        <v>77</v>
      </c>
      <c r="I36" s="586">
        <f>SUM(I33:I35)</f>
        <v>63</v>
      </c>
      <c r="J36" s="73"/>
      <c r="K36" s="73"/>
      <c r="L36" s="128"/>
      <c r="O36" s="587" t="s">
        <v>359</v>
      </c>
      <c r="P36" s="587" t="s">
        <v>360</v>
      </c>
      <c r="Q36" s="587">
        <v>1.5</v>
      </c>
      <c r="R36" s="587">
        <v>300.0</v>
      </c>
      <c r="S36" s="582">
        <f t="shared" si="3"/>
        <v>450</v>
      </c>
    </row>
    <row r="37" ht="15.75" customHeight="1">
      <c r="A37" s="588"/>
      <c r="B37" s="198"/>
      <c r="C37" s="198"/>
      <c r="D37" s="198"/>
      <c r="E37" s="198"/>
      <c r="F37" s="199"/>
      <c r="G37" s="119"/>
      <c r="H37" s="589" t="s">
        <v>361</v>
      </c>
      <c r="I37" s="198"/>
      <c r="J37" s="198"/>
      <c r="K37" s="199"/>
      <c r="L37" s="590" t="s">
        <v>362</v>
      </c>
      <c r="O37" s="587" t="s">
        <v>345</v>
      </c>
      <c r="P37" s="587" t="s">
        <v>360</v>
      </c>
      <c r="Q37" s="587">
        <v>1.5</v>
      </c>
      <c r="R37" s="587">
        <v>300.0</v>
      </c>
      <c r="S37" s="582">
        <f t="shared" si="3"/>
        <v>450</v>
      </c>
    </row>
    <row r="38" ht="15.7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S38" s="591">
        <f>SUM(S33:S37)</f>
        <v>5100</v>
      </c>
    </row>
    <row r="39" ht="15.7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O39" s="575" t="s">
        <v>363</v>
      </c>
    </row>
    <row r="40" ht="15.75" customHeight="1">
      <c r="A40" s="541" t="s">
        <v>364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2"/>
    </row>
    <row r="41" ht="15.75" customHeight="1">
      <c r="A41" s="103"/>
      <c r="B41" s="592" t="s">
        <v>2</v>
      </c>
      <c r="C41" s="593"/>
      <c r="D41" s="593"/>
      <c r="E41" s="593"/>
      <c r="F41" s="594"/>
      <c r="G41" s="107"/>
      <c r="H41" s="592" t="s">
        <v>3</v>
      </c>
      <c r="I41" s="593"/>
      <c r="J41" s="593"/>
      <c r="K41" s="593"/>
      <c r="L41" s="594"/>
      <c r="O41" s="317" t="s">
        <v>365</v>
      </c>
    </row>
    <row r="42" ht="15.75" customHeight="1">
      <c r="A42" s="595"/>
      <c r="B42" s="551" t="s">
        <v>10</v>
      </c>
      <c r="C42" s="596" t="s">
        <v>103</v>
      </c>
      <c r="D42" s="551" t="s">
        <v>12</v>
      </c>
      <c r="E42" s="551" t="s">
        <v>104</v>
      </c>
      <c r="F42" s="551" t="s">
        <v>14</v>
      </c>
      <c r="G42" s="597"/>
      <c r="H42" s="551" t="s">
        <v>105</v>
      </c>
      <c r="I42" s="551" t="s">
        <v>366</v>
      </c>
      <c r="J42" s="551" t="s">
        <v>107</v>
      </c>
      <c r="K42" s="551" t="s">
        <v>108</v>
      </c>
      <c r="L42" s="551" t="s">
        <v>109</v>
      </c>
      <c r="O42" s="576" t="s">
        <v>4</v>
      </c>
      <c r="P42" s="576" t="s">
        <v>5</v>
      </c>
      <c r="Q42" s="576" t="s">
        <v>267</v>
      </c>
      <c r="R42" s="576" t="s">
        <v>7</v>
      </c>
      <c r="S42" s="577" t="s">
        <v>8</v>
      </c>
    </row>
    <row r="43" ht="25.5" customHeight="1">
      <c r="A43" s="598" t="s">
        <v>329</v>
      </c>
      <c r="B43" s="599" t="s">
        <v>200</v>
      </c>
      <c r="C43" s="599">
        <v>27.0</v>
      </c>
      <c r="D43" s="600" t="s">
        <v>367</v>
      </c>
      <c r="E43" s="601" t="s">
        <v>368</v>
      </c>
      <c r="F43" s="602" t="s">
        <v>115</v>
      </c>
      <c r="G43" s="603"/>
      <c r="H43" s="604" t="s">
        <v>200</v>
      </c>
      <c r="I43" s="605">
        <v>15.0</v>
      </c>
      <c r="J43" s="604" t="s">
        <v>367</v>
      </c>
      <c r="K43" s="606" t="s">
        <v>369</v>
      </c>
      <c r="L43" s="607" t="s">
        <v>207</v>
      </c>
      <c r="O43" s="579" t="s">
        <v>115</v>
      </c>
      <c r="P43" s="580" t="s">
        <v>16</v>
      </c>
      <c r="Q43" s="580">
        <v>1.0</v>
      </c>
      <c r="R43" s="581">
        <v>1800.0</v>
      </c>
      <c r="S43" s="582">
        <f t="shared" ref="S43:S53" si="4">+Q43*R43</f>
        <v>1800</v>
      </c>
    </row>
    <row r="44" ht="27.0" customHeight="1">
      <c r="A44" s="608"/>
      <c r="B44" s="608"/>
      <c r="C44" s="608"/>
      <c r="D44" s="608"/>
      <c r="E44" s="608"/>
      <c r="F44" s="609" t="s">
        <v>370</v>
      </c>
      <c r="G44" s="603"/>
      <c r="H44" s="608"/>
      <c r="I44" s="605">
        <v>12.0</v>
      </c>
      <c r="J44" s="610"/>
      <c r="K44" s="606" t="s">
        <v>369</v>
      </c>
      <c r="L44" s="611" t="s">
        <v>371</v>
      </c>
      <c r="O44" s="579" t="s">
        <v>347</v>
      </c>
      <c r="P44" s="580" t="s">
        <v>16</v>
      </c>
      <c r="Q44" s="580">
        <v>1.5</v>
      </c>
      <c r="R44" s="581">
        <v>300.0</v>
      </c>
      <c r="S44" s="582">
        <f t="shared" si="4"/>
        <v>450</v>
      </c>
    </row>
    <row r="45" ht="22.5" customHeight="1">
      <c r="A45" s="608"/>
      <c r="B45" s="608"/>
      <c r="C45" s="608"/>
      <c r="D45" s="608"/>
      <c r="E45" s="608"/>
      <c r="F45" s="611" t="s">
        <v>213</v>
      </c>
      <c r="G45" s="603"/>
      <c r="H45" s="608"/>
      <c r="I45" s="612"/>
      <c r="J45" s="613"/>
      <c r="K45" s="614"/>
      <c r="L45" s="615"/>
      <c r="O45" s="579" t="s">
        <v>213</v>
      </c>
      <c r="P45" s="580" t="s">
        <v>16</v>
      </c>
      <c r="Q45" s="580">
        <v>4.0</v>
      </c>
      <c r="R45" s="581">
        <v>300.0</v>
      </c>
      <c r="S45" s="582">
        <f t="shared" si="4"/>
        <v>1200</v>
      </c>
    </row>
    <row r="46" ht="15.75" customHeight="1">
      <c r="A46" s="608"/>
      <c r="B46" s="608"/>
      <c r="C46" s="608"/>
      <c r="D46" s="608"/>
      <c r="E46" s="608"/>
      <c r="F46" s="616" t="s">
        <v>372</v>
      </c>
      <c r="G46" s="603"/>
      <c r="H46" s="608"/>
      <c r="I46" s="612"/>
      <c r="J46" s="613"/>
      <c r="K46" s="614"/>
      <c r="L46" s="617"/>
      <c r="O46" s="618" t="s">
        <v>373</v>
      </c>
      <c r="P46" s="618" t="s">
        <v>16</v>
      </c>
      <c r="Q46" s="618">
        <v>3.5</v>
      </c>
      <c r="R46" s="619">
        <v>300.0</v>
      </c>
      <c r="S46" s="620">
        <f t="shared" si="4"/>
        <v>1050</v>
      </c>
    </row>
    <row r="47" ht="15.75" customHeight="1">
      <c r="A47" s="608"/>
      <c r="B47" s="608"/>
      <c r="C47" s="608"/>
      <c r="D47" s="608"/>
      <c r="E47" s="608"/>
      <c r="F47" s="621" t="s">
        <v>212</v>
      </c>
      <c r="G47" s="603"/>
      <c r="H47" s="608"/>
      <c r="I47" s="612"/>
      <c r="J47" s="613"/>
      <c r="K47" s="614"/>
      <c r="L47" s="617"/>
      <c r="O47" s="622" t="s">
        <v>212</v>
      </c>
      <c r="P47" s="622" t="s">
        <v>16</v>
      </c>
      <c r="Q47" s="622">
        <v>4.0</v>
      </c>
      <c r="R47" s="581">
        <v>300.0</v>
      </c>
      <c r="S47" s="582">
        <f t="shared" si="4"/>
        <v>1200</v>
      </c>
    </row>
    <row r="48" ht="15.75" customHeight="1">
      <c r="A48" s="610"/>
      <c r="B48" s="610"/>
      <c r="C48" s="610"/>
      <c r="D48" s="610"/>
      <c r="E48" s="610"/>
      <c r="F48" s="623" t="s">
        <v>235</v>
      </c>
      <c r="G48" s="603"/>
      <c r="H48" s="610"/>
      <c r="I48" s="612"/>
      <c r="J48" s="613"/>
      <c r="K48" s="614"/>
      <c r="L48" s="617"/>
      <c r="O48" s="622" t="s">
        <v>112</v>
      </c>
      <c r="P48" s="622" t="s">
        <v>16</v>
      </c>
      <c r="Q48" s="622">
        <v>4.0</v>
      </c>
      <c r="R48" s="581">
        <v>300.0</v>
      </c>
      <c r="S48" s="582">
        <f t="shared" si="4"/>
        <v>1200</v>
      </c>
    </row>
    <row r="49" ht="15.75" customHeight="1">
      <c r="A49" s="624"/>
      <c r="B49" s="625"/>
      <c r="C49" s="625"/>
      <c r="D49" s="626"/>
      <c r="E49" s="627" t="s">
        <v>32</v>
      </c>
      <c r="F49" s="628" t="s">
        <v>345</v>
      </c>
      <c r="G49" s="603"/>
      <c r="H49" s="629"/>
      <c r="I49" s="612"/>
      <c r="J49" s="613"/>
      <c r="K49" s="627" t="s">
        <v>32</v>
      </c>
      <c r="L49" s="630" t="s">
        <v>133</v>
      </c>
      <c r="O49" s="622" t="s">
        <v>188</v>
      </c>
      <c r="P49" s="622" t="s">
        <v>16</v>
      </c>
      <c r="Q49" s="622">
        <v>2.5</v>
      </c>
      <c r="R49" s="581">
        <v>300.0</v>
      </c>
      <c r="S49" s="582">
        <f t="shared" si="4"/>
        <v>750</v>
      </c>
    </row>
    <row r="50" ht="15.75" customHeight="1">
      <c r="A50" s="595"/>
      <c r="B50" s="551" t="s">
        <v>10</v>
      </c>
      <c r="C50" s="596" t="s">
        <v>103</v>
      </c>
      <c r="D50" s="551" t="s">
        <v>12</v>
      </c>
      <c r="E50" s="551" t="s">
        <v>104</v>
      </c>
      <c r="F50" s="551" t="s">
        <v>14</v>
      </c>
      <c r="G50" s="597"/>
      <c r="H50" s="551" t="s">
        <v>105</v>
      </c>
      <c r="I50" s="551" t="s">
        <v>106</v>
      </c>
      <c r="J50" s="551" t="s">
        <v>107</v>
      </c>
      <c r="K50" s="551" t="s">
        <v>108</v>
      </c>
      <c r="L50" s="551" t="s">
        <v>109</v>
      </c>
      <c r="O50" s="622" t="s">
        <v>207</v>
      </c>
      <c r="P50" s="622" t="s">
        <v>360</v>
      </c>
      <c r="Q50" s="631">
        <f t="shared" ref="Q50:Q51" si="5">2.5+2</f>
        <v>4.5</v>
      </c>
      <c r="R50" s="581">
        <v>300.0</v>
      </c>
      <c r="S50" s="582">
        <f t="shared" si="4"/>
        <v>1350</v>
      </c>
    </row>
    <row r="51" ht="26.25" customHeight="1">
      <c r="A51" s="598" t="s">
        <v>329</v>
      </c>
      <c r="B51" s="599" t="s">
        <v>135</v>
      </c>
      <c r="C51" s="599">
        <v>53.0</v>
      </c>
      <c r="D51" s="600" t="s">
        <v>367</v>
      </c>
      <c r="E51" s="632" t="s">
        <v>317</v>
      </c>
      <c r="F51" s="602" t="s">
        <v>115</v>
      </c>
      <c r="G51" s="603"/>
      <c r="H51" s="604" t="s">
        <v>135</v>
      </c>
      <c r="I51" s="605" t="s">
        <v>374</v>
      </c>
      <c r="J51" s="604" t="s">
        <v>367</v>
      </c>
      <c r="K51" s="606" t="s">
        <v>25</v>
      </c>
      <c r="L51" s="607" t="s">
        <v>207</v>
      </c>
      <c r="O51" s="68" t="s">
        <v>371</v>
      </c>
      <c r="P51" s="68" t="s">
        <v>360</v>
      </c>
      <c r="Q51" s="633">
        <f t="shared" si="5"/>
        <v>4.5</v>
      </c>
      <c r="R51" s="619">
        <v>300.0</v>
      </c>
      <c r="S51" s="620">
        <f t="shared" si="4"/>
        <v>1350</v>
      </c>
    </row>
    <row r="52" ht="15.75" customHeight="1">
      <c r="A52" s="608"/>
      <c r="B52" s="608"/>
      <c r="C52" s="608"/>
      <c r="D52" s="608"/>
      <c r="E52" s="608"/>
      <c r="F52" s="609" t="s">
        <v>375</v>
      </c>
      <c r="G52" s="603"/>
      <c r="H52" s="608"/>
      <c r="I52" s="605" t="s">
        <v>376</v>
      </c>
      <c r="J52" s="608"/>
      <c r="K52" s="606" t="s">
        <v>25</v>
      </c>
      <c r="L52" s="611" t="s">
        <v>371</v>
      </c>
      <c r="O52" s="622" t="s">
        <v>359</v>
      </c>
      <c r="P52" s="622" t="s">
        <v>360</v>
      </c>
      <c r="Q52" s="622">
        <v>2.5</v>
      </c>
      <c r="R52" s="581">
        <v>300.0</v>
      </c>
      <c r="S52" s="582">
        <f t="shared" si="4"/>
        <v>750</v>
      </c>
    </row>
    <row r="53" ht="24.0" customHeight="1">
      <c r="A53" s="608"/>
      <c r="B53" s="608"/>
      <c r="C53" s="608"/>
      <c r="D53" s="608"/>
      <c r="E53" s="608"/>
      <c r="F53" s="611" t="s">
        <v>213</v>
      </c>
      <c r="G53" s="603"/>
      <c r="H53" s="608"/>
      <c r="I53" s="605" t="s">
        <v>377</v>
      </c>
      <c r="J53" s="608"/>
      <c r="K53" s="606" t="s">
        <v>25</v>
      </c>
      <c r="L53" s="611" t="s">
        <v>359</v>
      </c>
      <c r="O53" s="622" t="s">
        <v>345</v>
      </c>
      <c r="P53" s="622" t="s">
        <v>32</v>
      </c>
      <c r="Q53" s="622">
        <v>5.5</v>
      </c>
      <c r="R53" s="581">
        <v>200.0</v>
      </c>
      <c r="S53" s="582">
        <f t="shared" si="4"/>
        <v>1100</v>
      </c>
    </row>
    <row r="54" ht="15.75" customHeight="1">
      <c r="A54" s="608"/>
      <c r="B54" s="608"/>
      <c r="C54" s="608"/>
      <c r="D54" s="608"/>
      <c r="E54" s="608"/>
      <c r="F54" s="616" t="s">
        <v>372</v>
      </c>
      <c r="G54" s="603"/>
      <c r="H54" s="608"/>
      <c r="I54" s="612"/>
      <c r="J54" s="608"/>
      <c r="K54" s="614"/>
      <c r="L54" s="634"/>
      <c r="S54" s="591">
        <f>SUM(S43:S53)</f>
        <v>12200</v>
      </c>
    </row>
    <row r="55" ht="20.25" customHeight="1">
      <c r="A55" s="608"/>
      <c r="B55" s="608"/>
      <c r="C55" s="608"/>
      <c r="D55" s="608"/>
      <c r="E55" s="608"/>
      <c r="F55" s="621" t="s">
        <v>212</v>
      </c>
      <c r="G55" s="603"/>
      <c r="H55" s="608"/>
      <c r="I55" s="612"/>
      <c r="J55" s="608"/>
      <c r="K55" s="627"/>
      <c r="L55" s="630"/>
      <c r="O55" s="575" t="s">
        <v>363</v>
      </c>
    </row>
    <row r="56" ht="15.75" customHeight="1">
      <c r="A56" s="610"/>
      <c r="B56" s="610"/>
      <c r="C56" s="610"/>
      <c r="D56" s="610"/>
      <c r="E56" s="610"/>
      <c r="F56" s="623" t="s">
        <v>235</v>
      </c>
      <c r="G56" s="603"/>
      <c r="H56" s="610"/>
      <c r="I56" s="612"/>
      <c r="J56" s="610"/>
      <c r="K56" s="627" t="s">
        <v>32</v>
      </c>
      <c r="L56" s="630" t="s">
        <v>133</v>
      </c>
    </row>
    <row r="57" ht="15.75" customHeight="1">
      <c r="E57" s="627" t="s">
        <v>32</v>
      </c>
      <c r="F57" s="628" t="s">
        <v>345</v>
      </c>
    </row>
    <row r="58" ht="15.75" customHeight="1"/>
    <row r="59" ht="15.75" customHeight="1">
      <c r="Q59" s="27"/>
    </row>
    <row r="60" ht="15.75" customHeight="1">
      <c r="Q60" s="27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7">
    <mergeCell ref="H37:K37"/>
    <mergeCell ref="O39:R39"/>
    <mergeCell ref="A40:L40"/>
    <mergeCell ref="B41:F41"/>
    <mergeCell ref="H41:L41"/>
    <mergeCell ref="O41:S41"/>
    <mergeCell ref="A33:A36"/>
    <mergeCell ref="B33:B36"/>
    <mergeCell ref="C33:C36"/>
    <mergeCell ref="D33:D36"/>
    <mergeCell ref="H33:H35"/>
    <mergeCell ref="J33:J36"/>
    <mergeCell ref="K33:K36"/>
    <mergeCell ref="H43:H48"/>
    <mergeCell ref="J43:J44"/>
    <mergeCell ref="A51:A56"/>
    <mergeCell ref="B51:B56"/>
    <mergeCell ref="C51:C56"/>
    <mergeCell ref="D51:D56"/>
    <mergeCell ref="E51:E56"/>
    <mergeCell ref="H51:H56"/>
    <mergeCell ref="J51:J56"/>
    <mergeCell ref="O55:R55"/>
    <mergeCell ref="E33:E36"/>
    <mergeCell ref="A37:F37"/>
    <mergeCell ref="A43:A48"/>
    <mergeCell ref="B43:B48"/>
    <mergeCell ref="C43:C48"/>
    <mergeCell ref="D43:D48"/>
    <mergeCell ref="E43:E48"/>
    <mergeCell ref="E6:E9"/>
    <mergeCell ref="H6:H9"/>
    <mergeCell ref="H10:H13"/>
    <mergeCell ref="J6:J9"/>
    <mergeCell ref="K6:K9"/>
    <mergeCell ref="J10:J13"/>
    <mergeCell ref="K10:K13"/>
    <mergeCell ref="A1:L1"/>
    <mergeCell ref="A3:L3"/>
    <mergeCell ref="B4:F4"/>
    <mergeCell ref="H4:L4"/>
    <mergeCell ref="O4:S4"/>
    <mergeCell ref="A6:A9"/>
    <mergeCell ref="B6:B9"/>
    <mergeCell ref="A18:L18"/>
    <mergeCell ref="O18:S18"/>
    <mergeCell ref="B19:F19"/>
    <mergeCell ref="H19:L19"/>
    <mergeCell ref="C6:C9"/>
    <mergeCell ref="D6:D9"/>
    <mergeCell ref="A10:A13"/>
    <mergeCell ref="B10:B13"/>
    <mergeCell ref="C10:C13"/>
    <mergeCell ref="D10:D13"/>
    <mergeCell ref="E10:E13"/>
    <mergeCell ref="O29:R29"/>
    <mergeCell ref="A30:L30"/>
    <mergeCell ref="B31:F31"/>
    <mergeCell ref="H31:L31"/>
    <mergeCell ref="O31:S31"/>
    <mergeCell ref="A21:A26"/>
    <mergeCell ref="B21:B26"/>
    <mergeCell ref="C21:C26"/>
    <mergeCell ref="D21:D26"/>
    <mergeCell ref="E21:E26"/>
    <mergeCell ref="H21:H26"/>
    <mergeCell ref="J21:J27"/>
  </mergeCells>
  <printOptions/>
  <pageMargins bottom="0.75" footer="0.0" header="0.0" left="0.7" right="0.7" top="0.75"/>
  <pageSetup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8" width="4.25"/>
    <col customWidth="1" min="19" max="26" width="8.63"/>
  </cols>
  <sheetData>
    <row r="1">
      <c r="A1" s="635" t="s">
        <v>378</v>
      </c>
      <c r="B1" s="101"/>
      <c r="C1" s="101"/>
      <c r="D1" s="101"/>
      <c r="E1" s="102"/>
      <c r="F1" s="636"/>
      <c r="G1" s="637" t="s">
        <v>186</v>
      </c>
      <c r="H1" s="101"/>
      <c r="I1" s="101"/>
      <c r="J1" s="101"/>
      <c r="K1" s="102"/>
      <c r="L1" s="638"/>
      <c r="M1" s="639" t="s">
        <v>230</v>
      </c>
      <c r="N1" s="101"/>
      <c r="O1" s="101"/>
      <c r="P1" s="101"/>
      <c r="Q1" s="102"/>
      <c r="R1" s="640"/>
    </row>
    <row r="2">
      <c r="A2" s="641" t="s">
        <v>379</v>
      </c>
      <c r="B2" s="641" t="s">
        <v>380</v>
      </c>
      <c r="C2" s="641" t="s">
        <v>381</v>
      </c>
      <c r="D2" s="641" t="s">
        <v>382</v>
      </c>
      <c r="E2" s="641" t="s">
        <v>383</v>
      </c>
      <c r="F2" s="642"/>
      <c r="G2" s="643" t="s">
        <v>379</v>
      </c>
      <c r="H2" s="643" t="s">
        <v>380</v>
      </c>
      <c r="I2" s="643" t="s">
        <v>381</v>
      </c>
      <c r="J2" s="643" t="s">
        <v>382</v>
      </c>
      <c r="K2" s="643" t="s">
        <v>383</v>
      </c>
      <c r="L2" s="642"/>
      <c r="M2" s="644" t="s">
        <v>379</v>
      </c>
      <c r="N2" s="644" t="s">
        <v>380</v>
      </c>
      <c r="O2" s="644" t="s">
        <v>381</v>
      </c>
      <c r="P2" s="644" t="s">
        <v>382</v>
      </c>
      <c r="Q2" s="644" t="s">
        <v>383</v>
      </c>
      <c r="R2" s="642"/>
      <c r="T2" s="99">
        <f>21+21+21</f>
        <v>63</v>
      </c>
    </row>
    <row r="3">
      <c r="A3" s="641">
        <v>5.0</v>
      </c>
      <c r="B3" s="645">
        <v>1.0</v>
      </c>
      <c r="C3" s="645">
        <v>13.0</v>
      </c>
      <c r="D3" s="645">
        <v>25.0</v>
      </c>
      <c r="E3" s="645">
        <v>37.0</v>
      </c>
      <c r="F3" s="642"/>
      <c r="G3" s="643">
        <v>7.0</v>
      </c>
      <c r="H3" s="646">
        <v>1.0</v>
      </c>
      <c r="I3" s="646">
        <v>10.0</v>
      </c>
      <c r="J3" s="646">
        <v>19.0</v>
      </c>
      <c r="K3" s="646">
        <v>28.0</v>
      </c>
      <c r="L3" s="642"/>
      <c r="M3" s="647">
        <v>9.0</v>
      </c>
      <c r="N3" s="647">
        <v>1.0</v>
      </c>
      <c r="O3" s="647">
        <v>8.0</v>
      </c>
      <c r="P3" s="647">
        <v>15.0</v>
      </c>
      <c r="Q3" s="647">
        <v>22.0</v>
      </c>
      <c r="R3" s="642"/>
    </row>
    <row r="4">
      <c r="A4" s="641">
        <v>10.0</v>
      </c>
      <c r="B4" s="645">
        <v>2.0</v>
      </c>
      <c r="C4" s="645">
        <v>14.0</v>
      </c>
      <c r="D4" s="645">
        <v>26.0</v>
      </c>
      <c r="E4" s="645">
        <v>38.0</v>
      </c>
      <c r="F4" s="642"/>
      <c r="G4" s="643">
        <v>14.0</v>
      </c>
      <c r="H4" s="646">
        <v>2.0</v>
      </c>
      <c r="I4" s="646">
        <v>11.0</v>
      </c>
      <c r="J4" s="646">
        <v>20.0</v>
      </c>
      <c r="K4" s="646">
        <v>29.0</v>
      </c>
      <c r="L4" s="642"/>
      <c r="M4" s="647">
        <v>18.0</v>
      </c>
      <c r="N4" s="647">
        <v>2.0</v>
      </c>
      <c r="O4" s="647">
        <v>9.0</v>
      </c>
      <c r="P4" s="647">
        <v>16.0</v>
      </c>
      <c r="Q4" s="647">
        <v>23.0</v>
      </c>
      <c r="R4" s="642"/>
    </row>
    <row r="5">
      <c r="A5" s="641">
        <v>15.0</v>
      </c>
      <c r="B5" s="645">
        <v>3.0</v>
      </c>
      <c r="C5" s="645">
        <v>15.0</v>
      </c>
      <c r="D5" s="645">
        <v>27.0</v>
      </c>
      <c r="E5" s="645">
        <v>39.0</v>
      </c>
      <c r="F5" s="642"/>
      <c r="G5" s="643">
        <v>21.0</v>
      </c>
      <c r="H5" s="646">
        <v>3.0</v>
      </c>
      <c r="I5" s="646">
        <v>12.0</v>
      </c>
      <c r="J5" s="646">
        <v>21.0</v>
      </c>
      <c r="K5" s="646">
        <v>30.0</v>
      </c>
      <c r="L5" s="642"/>
      <c r="M5" s="647">
        <v>27.0</v>
      </c>
      <c r="N5" s="647">
        <v>3.0</v>
      </c>
      <c r="O5" s="647">
        <v>10.0</v>
      </c>
      <c r="P5" s="647">
        <v>17.0</v>
      </c>
      <c r="Q5" s="647">
        <v>24.0</v>
      </c>
      <c r="R5" s="642"/>
    </row>
    <row r="6">
      <c r="A6" s="641">
        <v>20.0</v>
      </c>
      <c r="B6" s="645">
        <v>4.0</v>
      </c>
      <c r="C6" s="645">
        <v>16.0</v>
      </c>
      <c r="D6" s="645">
        <v>28.0</v>
      </c>
      <c r="E6" s="645">
        <v>40.0</v>
      </c>
      <c r="F6" s="642"/>
      <c r="G6" s="643">
        <v>28.0</v>
      </c>
      <c r="H6" s="646">
        <v>4.0</v>
      </c>
      <c r="I6" s="646">
        <v>13.0</v>
      </c>
      <c r="J6" s="646">
        <v>22.0</v>
      </c>
      <c r="K6" s="646">
        <v>31.0</v>
      </c>
      <c r="L6" s="642"/>
      <c r="M6" s="647">
        <v>36.0</v>
      </c>
      <c r="N6" s="647">
        <v>4.0</v>
      </c>
      <c r="O6" s="647">
        <v>11.0</v>
      </c>
      <c r="P6" s="647">
        <v>18.0</v>
      </c>
      <c r="Q6" s="647">
        <v>25.0</v>
      </c>
      <c r="R6" s="642"/>
      <c r="T6" s="99">
        <f>21+21</f>
        <v>42</v>
      </c>
    </row>
    <row r="7">
      <c r="A7" s="641">
        <v>25.0</v>
      </c>
      <c r="B7" s="645">
        <v>5.0</v>
      </c>
      <c r="C7" s="645">
        <v>17.0</v>
      </c>
      <c r="D7" s="645">
        <v>29.0</v>
      </c>
      <c r="E7" s="645">
        <v>41.0</v>
      </c>
      <c r="F7" s="642"/>
      <c r="G7" s="643">
        <v>35.0</v>
      </c>
      <c r="H7" s="646">
        <v>5.0</v>
      </c>
      <c r="I7" s="646">
        <v>14.0</v>
      </c>
      <c r="J7" s="646">
        <v>23.0</v>
      </c>
      <c r="K7" s="646">
        <v>32.0</v>
      </c>
      <c r="L7" s="642"/>
      <c r="M7" s="647">
        <v>45.0</v>
      </c>
      <c r="N7" s="647">
        <v>5.0</v>
      </c>
      <c r="O7" s="647">
        <v>12.0</v>
      </c>
      <c r="P7" s="647">
        <v>19.0</v>
      </c>
      <c r="Q7" s="647">
        <v>26.0</v>
      </c>
      <c r="R7" s="642"/>
    </row>
    <row r="8">
      <c r="A8" s="641">
        <v>30.0</v>
      </c>
      <c r="B8" s="645">
        <v>6.0</v>
      </c>
      <c r="C8" s="645">
        <v>18.0</v>
      </c>
      <c r="D8" s="645">
        <v>30.0</v>
      </c>
      <c r="E8" s="645">
        <v>42.0</v>
      </c>
      <c r="F8" s="642"/>
      <c r="G8" s="643">
        <v>42.0</v>
      </c>
      <c r="H8" s="646">
        <v>6.0</v>
      </c>
      <c r="I8" s="646">
        <v>15.0</v>
      </c>
      <c r="J8" s="646">
        <v>24.0</v>
      </c>
      <c r="K8" s="646">
        <v>33.0</v>
      </c>
      <c r="L8" s="642"/>
      <c r="M8" s="647">
        <v>54.0</v>
      </c>
      <c r="N8" s="647">
        <v>6.0</v>
      </c>
      <c r="O8" s="647">
        <v>13.0</v>
      </c>
      <c r="P8" s="647">
        <v>20.0</v>
      </c>
      <c r="Q8" s="647">
        <v>27.0</v>
      </c>
      <c r="R8" s="642"/>
    </row>
    <row r="9">
      <c r="A9" s="641">
        <v>35.0</v>
      </c>
      <c r="B9" s="645">
        <v>7.0</v>
      </c>
      <c r="C9" s="645">
        <v>19.0</v>
      </c>
      <c r="D9" s="645">
        <v>31.0</v>
      </c>
      <c r="E9" s="645">
        <v>43.0</v>
      </c>
      <c r="F9" s="642"/>
      <c r="G9" s="643">
        <v>49.0</v>
      </c>
      <c r="H9" s="646">
        <v>7.0</v>
      </c>
      <c r="I9" s="646">
        <v>16.0</v>
      </c>
      <c r="J9" s="646">
        <v>25.0</v>
      </c>
      <c r="K9" s="646">
        <v>34.0</v>
      </c>
      <c r="L9" s="642"/>
      <c r="M9" s="647">
        <v>63.0</v>
      </c>
      <c r="N9" s="647">
        <v>7.0</v>
      </c>
      <c r="O9" s="647">
        <v>14.0</v>
      </c>
      <c r="P9" s="647">
        <v>21.0</v>
      </c>
      <c r="Q9" s="647">
        <v>28.0</v>
      </c>
      <c r="R9" s="642"/>
    </row>
    <row r="10">
      <c r="A10" s="641">
        <v>40.0</v>
      </c>
      <c r="B10" s="645">
        <v>8.0</v>
      </c>
      <c r="C10" s="645">
        <v>20.0</v>
      </c>
      <c r="D10" s="645">
        <v>32.0</v>
      </c>
      <c r="E10" s="645">
        <v>44.0</v>
      </c>
      <c r="F10" s="642"/>
      <c r="G10" s="643">
        <v>56.0</v>
      </c>
      <c r="H10" s="646">
        <v>8.0</v>
      </c>
      <c r="I10" s="646">
        <v>17.0</v>
      </c>
      <c r="J10" s="646">
        <v>26.0</v>
      </c>
      <c r="K10" s="646">
        <v>35.0</v>
      </c>
      <c r="L10" s="642"/>
      <c r="M10" s="642"/>
      <c r="N10" s="642"/>
      <c r="O10" s="642"/>
      <c r="P10" s="642"/>
      <c r="Q10" s="642"/>
      <c r="R10" s="642"/>
      <c r="V10" s="27">
        <v>3.0</v>
      </c>
      <c r="X10" s="99">
        <f>15</f>
        <v>15</v>
      </c>
      <c r="Y10" s="27" t="s">
        <v>384</v>
      </c>
    </row>
    <row r="11">
      <c r="A11" s="641">
        <v>45.0</v>
      </c>
      <c r="B11" s="645">
        <v>9.0</v>
      </c>
      <c r="C11" s="645">
        <v>21.0</v>
      </c>
      <c r="D11" s="645">
        <v>33.0</v>
      </c>
      <c r="E11" s="645">
        <v>45.0</v>
      </c>
      <c r="F11" s="642"/>
      <c r="G11" s="643">
        <v>63.0</v>
      </c>
      <c r="H11" s="646">
        <v>9.0</v>
      </c>
      <c r="I11" s="646">
        <v>18.0</v>
      </c>
      <c r="J11" s="646">
        <v>27.0</v>
      </c>
      <c r="K11" s="646">
        <v>36.0</v>
      </c>
      <c r="L11" s="642"/>
      <c r="M11" s="642"/>
      <c r="N11" s="642"/>
      <c r="O11" s="642"/>
      <c r="P11" s="642"/>
      <c r="Q11" s="642"/>
      <c r="R11" s="642"/>
      <c r="V11" s="99">
        <f>52/2</f>
        <v>26</v>
      </c>
    </row>
    <row r="12">
      <c r="A12" s="641">
        <v>50.0</v>
      </c>
      <c r="B12" s="645">
        <v>10.0</v>
      </c>
      <c r="C12" s="645">
        <v>22.0</v>
      </c>
      <c r="D12" s="645">
        <v>34.0</v>
      </c>
      <c r="E12" s="645">
        <v>46.0</v>
      </c>
      <c r="F12" s="642"/>
      <c r="G12" s="642"/>
      <c r="H12" s="642"/>
      <c r="I12" s="642"/>
      <c r="J12" s="642"/>
      <c r="K12" s="642"/>
      <c r="L12" s="642"/>
      <c r="M12" s="642"/>
      <c r="N12" s="642"/>
      <c r="O12" s="642"/>
      <c r="P12" s="642"/>
      <c r="Q12" s="642"/>
      <c r="R12" s="642"/>
    </row>
    <row r="13">
      <c r="A13" s="641">
        <v>55.0</v>
      </c>
      <c r="B13" s="645">
        <v>11.0</v>
      </c>
      <c r="C13" s="645">
        <v>23.0</v>
      </c>
      <c r="D13" s="645">
        <v>35.0</v>
      </c>
      <c r="E13" s="645">
        <v>47.0</v>
      </c>
      <c r="F13" s="642"/>
      <c r="G13" s="642"/>
      <c r="H13" s="642"/>
      <c r="I13" s="642"/>
      <c r="J13" s="642"/>
      <c r="K13" s="642"/>
      <c r="L13" s="642"/>
      <c r="M13" s="642"/>
      <c r="N13" s="642"/>
      <c r="O13" s="642"/>
      <c r="P13" s="642"/>
      <c r="Q13" s="642"/>
      <c r="R13" s="642"/>
    </row>
    <row r="14">
      <c r="A14" s="641">
        <v>60.0</v>
      </c>
      <c r="B14" s="645">
        <v>12.0</v>
      </c>
      <c r="C14" s="645">
        <v>24.0</v>
      </c>
      <c r="D14" s="645">
        <v>36.0</v>
      </c>
      <c r="E14" s="645">
        <v>48.0</v>
      </c>
      <c r="F14" s="642"/>
      <c r="G14" s="642"/>
      <c r="H14" s="642"/>
      <c r="I14" s="642"/>
      <c r="J14" s="642"/>
      <c r="K14" s="642"/>
      <c r="L14" s="642"/>
      <c r="M14" s="642"/>
      <c r="N14" s="642"/>
      <c r="O14" s="642"/>
      <c r="P14" s="642"/>
      <c r="Q14" s="642"/>
      <c r="R14" s="642"/>
    </row>
    <row r="15">
      <c r="A15" s="642"/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2"/>
      <c r="N15" s="642"/>
      <c r="O15" s="642"/>
      <c r="P15" s="642"/>
      <c r="Q15" s="642"/>
      <c r="R15" s="642"/>
    </row>
    <row r="16">
      <c r="A16" s="642"/>
      <c r="B16" s="642"/>
      <c r="C16" s="642"/>
      <c r="D16" s="642"/>
      <c r="E16" s="642"/>
      <c r="F16" s="642"/>
      <c r="G16" s="642"/>
      <c r="H16" s="642"/>
      <c r="I16" s="642"/>
      <c r="J16" s="642"/>
      <c r="K16" s="642"/>
      <c r="L16" s="642"/>
      <c r="M16" s="642"/>
      <c r="N16" s="642"/>
      <c r="O16" s="642"/>
      <c r="P16" s="642"/>
      <c r="Q16" s="642"/>
      <c r="R16" s="642"/>
    </row>
    <row r="17">
      <c r="A17" s="648" t="s">
        <v>168</v>
      </c>
      <c r="B17" s="649"/>
      <c r="C17" s="649"/>
      <c r="D17" s="649"/>
      <c r="E17" s="650"/>
      <c r="F17" s="651"/>
      <c r="G17" s="652" t="s">
        <v>162</v>
      </c>
      <c r="H17" s="649"/>
      <c r="I17" s="649"/>
      <c r="J17" s="649"/>
      <c r="K17" s="650"/>
      <c r="L17" s="651"/>
      <c r="M17" s="653" t="s">
        <v>173</v>
      </c>
      <c r="N17" s="653"/>
      <c r="O17" s="653"/>
      <c r="P17" s="653"/>
      <c r="Q17" s="653"/>
      <c r="R17" s="640"/>
    </row>
    <row r="18">
      <c r="A18" s="654" t="s">
        <v>379</v>
      </c>
      <c r="B18" s="654" t="s">
        <v>385</v>
      </c>
      <c r="C18" s="654" t="s">
        <v>386</v>
      </c>
      <c r="D18" s="654" t="s">
        <v>387</v>
      </c>
      <c r="E18" s="654" t="s">
        <v>388</v>
      </c>
      <c r="F18" s="642"/>
      <c r="G18" s="655" t="s">
        <v>379</v>
      </c>
      <c r="H18" s="656" t="s">
        <v>385</v>
      </c>
      <c r="I18" s="656" t="s">
        <v>386</v>
      </c>
      <c r="J18" s="656" t="s">
        <v>387</v>
      </c>
      <c r="K18" s="656" t="s">
        <v>388</v>
      </c>
      <c r="L18" s="642"/>
      <c r="M18" s="657" t="s">
        <v>379</v>
      </c>
      <c r="N18" s="657" t="s">
        <v>385</v>
      </c>
      <c r="O18" s="657" t="s">
        <v>386</v>
      </c>
      <c r="P18" s="657" t="s">
        <v>387</v>
      </c>
      <c r="Q18" s="657" t="s">
        <v>388</v>
      </c>
      <c r="R18" s="640"/>
    </row>
    <row r="19">
      <c r="A19" s="658">
        <v>12.0</v>
      </c>
      <c r="B19" s="659">
        <v>2.0</v>
      </c>
      <c r="C19" s="659">
        <v>12.0</v>
      </c>
      <c r="D19" s="659">
        <v>22.0</v>
      </c>
      <c r="E19" s="659">
        <v>32.0</v>
      </c>
      <c r="F19" s="642"/>
      <c r="G19" s="656">
        <v>14.0</v>
      </c>
      <c r="H19" s="656">
        <v>2.0</v>
      </c>
      <c r="I19" s="656">
        <v>10.0</v>
      </c>
      <c r="J19" s="656">
        <v>18.0</v>
      </c>
      <c r="K19" s="656">
        <v>26.0</v>
      </c>
      <c r="L19" s="642"/>
      <c r="M19" s="660">
        <v>16.0</v>
      </c>
      <c r="N19" s="661">
        <v>2.0</v>
      </c>
      <c r="O19" s="661">
        <v>10.0</v>
      </c>
      <c r="P19" s="661">
        <v>18.0</v>
      </c>
      <c r="Q19" s="661">
        <v>26.0</v>
      </c>
      <c r="R19" s="640"/>
    </row>
    <row r="20">
      <c r="A20" s="658">
        <v>24.0</v>
      </c>
      <c r="B20" s="659">
        <v>4.0</v>
      </c>
      <c r="C20" s="659">
        <v>14.0</v>
      </c>
      <c r="D20" s="659">
        <v>24.0</v>
      </c>
      <c r="E20" s="659">
        <v>34.0</v>
      </c>
      <c r="F20" s="642"/>
      <c r="G20" s="656">
        <v>28.0</v>
      </c>
      <c r="H20" s="656">
        <v>4.0</v>
      </c>
      <c r="I20" s="656">
        <v>12.0</v>
      </c>
      <c r="J20" s="656">
        <v>20.0</v>
      </c>
      <c r="K20" s="656">
        <v>28.0</v>
      </c>
      <c r="L20" s="642"/>
      <c r="M20" s="660">
        <v>32.0</v>
      </c>
      <c r="N20" s="661">
        <v>4.0</v>
      </c>
      <c r="O20" s="661">
        <v>12.0</v>
      </c>
      <c r="P20" s="661">
        <v>20.0</v>
      </c>
      <c r="Q20" s="661">
        <v>28.0</v>
      </c>
      <c r="R20" s="640"/>
    </row>
    <row r="21" ht="15.75" customHeight="1">
      <c r="A21" s="658">
        <v>36.0</v>
      </c>
      <c r="B21" s="659">
        <v>6.0</v>
      </c>
      <c r="C21" s="659">
        <v>16.0</v>
      </c>
      <c r="D21" s="659">
        <v>26.0</v>
      </c>
      <c r="E21" s="659">
        <v>36.0</v>
      </c>
      <c r="F21" s="642"/>
      <c r="G21" s="656">
        <v>42.0</v>
      </c>
      <c r="H21" s="656">
        <v>6.0</v>
      </c>
      <c r="I21" s="656">
        <v>14.0</v>
      </c>
      <c r="J21" s="656">
        <v>22.0</v>
      </c>
      <c r="K21" s="656">
        <v>30.0</v>
      </c>
      <c r="L21" s="642"/>
      <c r="M21" s="660">
        <v>48.0</v>
      </c>
      <c r="N21" s="661">
        <v>6.0</v>
      </c>
      <c r="O21" s="661">
        <v>14.0</v>
      </c>
      <c r="P21" s="661">
        <v>22.0</v>
      </c>
      <c r="Q21" s="661">
        <v>30.0</v>
      </c>
      <c r="R21" s="640"/>
    </row>
    <row r="22" ht="15.75" customHeight="1">
      <c r="A22" s="658">
        <v>48.0</v>
      </c>
      <c r="B22" s="659">
        <v>8.0</v>
      </c>
      <c r="C22" s="659">
        <v>18.0</v>
      </c>
      <c r="D22" s="659">
        <v>28.0</v>
      </c>
      <c r="E22" s="659">
        <v>38.0</v>
      </c>
      <c r="F22" s="642"/>
      <c r="G22" s="656">
        <v>56.0</v>
      </c>
      <c r="H22" s="656">
        <v>8.0</v>
      </c>
      <c r="I22" s="656">
        <v>16.0</v>
      </c>
      <c r="J22" s="656">
        <v>24.0</v>
      </c>
      <c r="K22" s="656">
        <v>32.0</v>
      </c>
      <c r="L22" s="642"/>
      <c r="M22" s="660">
        <v>64.0</v>
      </c>
      <c r="N22" s="661">
        <v>8.0</v>
      </c>
      <c r="O22" s="661">
        <v>16.0</v>
      </c>
      <c r="P22" s="661">
        <v>24.0</v>
      </c>
      <c r="Q22" s="661">
        <v>32.0</v>
      </c>
      <c r="R22" s="640"/>
    </row>
    <row r="23" ht="15.75" customHeight="1">
      <c r="A23" s="658">
        <v>60.0</v>
      </c>
      <c r="B23" s="659">
        <v>10.0</v>
      </c>
      <c r="C23" s="659">
        <v>20.0</v>
      </c>
      <c r="D23" s="659">
        <v>30.0</v>
      </c>
      <c r="E23" s="659">
        <v>40.0</v>
      </c>
      <c r="F23" s="642"/>
      <c r="G23" s="642"/>
      <c r="H23" s="642"/>
      <c r="I23" s="642"/>
      <c r="J23" s="642"/>
      <c r="K23" s="642"/>
      <c r="L23" s="642"/>
      <c r="M23" s="642"/>
      <c r="N23" s="642"/>
      <c r="O23" s="642"/>
      <c r="P23" s="642"/>
      <c r="Q23" s="642"/>
      <c r="R23" s="642"/>
    </row>
    <row r="24" ht="15.75" customHeight="1">
      <c r="A24" s="64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40"/>
      <c r="P24" s="640"/>
      <c r="Q24" s="640"/>
      <c r="R24" s="640"/>
    </row>
    <row r="25" ht="15.75" customHeight="1"/>
    <row r="26" ht="15.75" customHeight="1"/>
    <row r="27" ht="15.75" customHeight="1">
      <c r="D27" s="27">
        <v>16.0</v>
      </c>
      <c r="G27" s="99">
        <f>27+27</f>
        <v>54</v>
      </c>
    </row>
    <row r="28" ht="15.75" customHeight="1"/>
    <row r="29" ht="15.75" customHeight="1">
      <c r="K29" s="27">
        <v>4.0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G1:K1"/>
    <mergeCell ref="M1:Q1"/>
    <mergeCell ref="A17:E17"/>
    <mergeCell ref="G17:K17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6.75"/>
    <col customWidth="1" min="4" max="4" width="20.63"/>
    <col customWidth="1" min="5" max="5" width="21.75"/>
    <col customWidth="1" min="6" max="6" width="42.38"/>
  </cols>
  <sheetData>
    <row r="2">
      <c r="A2" s="662" t="s">
        <v>389</v>
      </c>
      <c r="B2" s="662" t="s">
        <v>390</v>
      </c>
      <c r="C2" s="662" t="s">
        <v>13</v>
      </c>
      <c r="D2" s="662" t="s">
        <v>391</v>
      </c>
      <c r="E2" s="662" t="s">
        <v>392</v>
      </c>
      <c r="F2" s="662" t="s">
        <v>393</v>
      </c>
    </row>
    <row r="3" ht="18.0" customHeight="1">
      <c r="A3" s="663" t="s">
        <v>394</v>
      </c>
      <c r="B3" s="664">
        <v>46085.0</v>
      </c>
      <c r="C3" s="663" t="s">
        <v>65</v>
      </c>
      <c r="D3" s="665" t="s">
        <v>243</v>
      </c>
      <c r="E3" s="663" t="s">
        <v>395</v>
      </c>
      <c r="F3" s="663" t="s">
        <v>396</v>
      </c>
    </row>
    <row r="4" ht="33.75" customHeight="1">
      <c r="A4" s="73"/>
      <c r="B4" s="73"/>
      <c r="C4" s="73"/>
      <c r="D4" s="665" t="s">
        <v>397</v>
      </c>
      <c r="E4" s="73"/>
      <c r="F4" s="73"/>
    </row>
    <row r="5">
      <c r="A5" s="666" t="s">
        <v>394</v>
      </c>
      <c r="B5" s="667">
        <v>46085.0</v>
      </c>
      <c r="C5" s="666" t="s">
        <v>65</v>
      </c>
      <c r="D5" s="668" t="s">
        <v>165</v>
      </c>
      <c r="E5" s="669" t="s">
        <v>398</v>
      </c>
      <c r="F5" s="666" t="s">
        <v>399</v>
      </c>
    </row>
    <row r="6">
      <c r="A6" s="73"/>
      <c r="B6" s="73"/>
      <c r="C6" s="73"/>
      <c r="D6" s="668" t="s">
        <v>400</v>
      </c>
      <c r="E6" s="73"/>
      <c r="F6" s="73"/>
    </row>
    <row r="7">
      <c r="A7" s="670" t="s">
        <v>394</v>
      </c>
      <c r="B7" s="671">
        <v>46085.0</v>
      </c>
      <c r="C7" s="670" t="s">
        <v>65</v>
      </c>
      <c r="D7" s="672" t="s">
        <v>115</v>
      </c>
      <c r="E7" s="673" t="s">
        <v>401</v>
      </c>
      <c r="F7" s="670" t="s">
        <v>402</v>
      </c>
    </row>
    <row r="8">
      <c r="A8" s="73"/>
      <c r="B8" s="73"/>
      <c r="C8" s="73"/>
      <c r="D8" s="672" t="s">
        <v>403</v>
      </c>
      <c r="E8" s="73"/>
      <c r="F8" s="73"/>
    </row>
    <row r="9">
      <c r="A9" s="674" t="s">
        <v>394</v>
      </c>
      <c r="B9" s="675">
        <v>46085.0</v>
      </c>
      <c r="C9" s="674" t="s">
        <v>65</v>
      </c>
      <c r="D9" s="676" t="s">
        <v>39</v>
      </c>
      <c r="E9" s="677" t="s">
        <v>404</v>
      </c>
      <c r="F9" s="678" t="s">
        <v>405</v>
      </c>
    </row>
    <row r="10">
      <c r="A10" s="73"/>
      <c r="B10" s="73"/>
      <c r="C10" s="73"/>
      <c r="D10" s="676" t="s">
        <v>406</v>
      </c>
      <c r="E10" s="73"/>
      <c r="F10" s="73"/>
    </row>
  </sheetData>
  <mergeCells count="20">
    <mergeCell ref="E3:E4"/>
    <mergeCell ref="E5:E6"/>
    <mergeCell ref="E7:E8"/>
    <mergeCell ref="F7:F8"/>
    <mergeCell ref="E9:E10"/>
    <mergeCell ref="F9:F10"/>
    <mergeCell ref="A5:A6"/>
    <mergeCell ref="A7:A8"/>
    <mergeCell ref="B7:B8"/>
    <mergeCell ref="C7:C8"/>
    <mergeCell ref="A9:A10"/>
    <mergeCell ref="B9:B10"/>
    <mergeCell ref="C9:C10"/>
    <mergeCell ref="A3:A4"/>
    <mergeCell ref="B3:B4"/>
    <mergeCell ref="C3:C4"/>
    <mergeCell ref="F3:F4"/>
    <mergeCell ref="B5:B6"/>
    <mergeCell ref="C5:C6"/>
    <mergeCell ref="F5:F6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4.0"/>
    <col customWidth="1" min="3" max="3" width="24.5"/>
    <col customWidth="1" min="4" max="4" width="12.88"/>
    <col customWidth="1" min="5" max="5" width="16.25"/>
    <col customWidth="1" min="6" max="6" width="19.0"/>
    <col customWidth="1" min="7" max="7" width="22.0"/>
    <col customWidth="1" min="8" max="8" width="19.13"/>
    <col customWidth="1" min="11" max="11" width="18.25"/>
  </cols>
  <sheetData>
    <row r="2">
      <c r="A2" s="679"/>
      <c r="B2" s="679" t="s">
        <v>407</v>
      </c>
    </row>
    <row r="3">
      <c r="A3" s="680"/>
      <c r="B3" s="680"/>
      <c r="C3" s="680"/>
      <c r="D3" s="680"/>
      <c r="E3" s="680"/>
      <c r="F3" s="680"/>
      <c r="G3" s="680"/>
      <c r="H3" s="680"/>
      <c r="I3" s="680"/>
      <c r="J3" s="680"/>
      <c r="K3" s="680"/>
    </row>
    <row r="4">
      <c r="A4" s="681"/>
      <c r="B4" s="682" t="s">
        <v>408</v>
      </c>
      <c r="C4" s="683"/>
      <c r="D4" s="680"/>
      <c r="E4" s="680"/>
      <c r="F4" s="680"/>
      <c r="G4" s="680"/>
      <c r="H4" s="680"/>
      <c r="I4" s="680"/>
      <c r="J4" s="680"/>
      <c r="K4" s="680"/>
    </row>
    <row r="5">
      <c r="A5" s="684"/>
      <c r="B5" s="684" t="s">
        <v>409</v>
      </c>
      <c r="C5" s="684" t="s">
        <v>410</v>
      </c>
      <c r="D5" s="684" t="s">
        <v>411</v>
      </c>
      <c r="E5" s="684" t="s">
        <v>412</v>
      </c>
      <c r="F5" s="684" t="s">
        <v>413</v>
      </c>
      <c r="G5" s="684" t="s">
        <v>414</v>
      </c>
      <c r="H5" s="684" t="s">
        <v>415</v>
      </c>
      <c r="I5" s="685" t="s">
        <v>416</v>
      </c>
      <c r="J5" s="685" t="s">
        <v>417</v>
      </c>
      <c r="K5" s="685" t="s">
        <v>418</v>
      </c>
      <c r="L5" s="686"/>
    </row>
    <row r="6">
      <c r="A6" s="687" t="s">
        <v>419</v>
      </c>
      <c r="B6" s="688">
        <v>46062.0</v>
      </c>
      <c r="C6" s="688">
        <v>46062.0</v>
      </c>
      <c r="D6" s="689">
        <v>0.3958333333333333</v>
      </c>
      <c r="E6" s="687" t="s">
        <v>420</v>
      </c>
      <c r="F6" s="687" t="s">
        <v>67</v>
      </c>
      <c r="G6" s="687" t="s">
        <v>15</v>
      </c>
      <c r="H6" s="690" t="s">
        <v>421</v>
      </c>
      <c r="I6" s="691">
        <v>45894.0</v>
      </c>
      <c r="J6" s="692">
        <v>0.7013888888888888</v>
      </c>
      <c r="K6" s="693" t="s">
        <v>422</v>
      </c>
      <c r="L6" s="686"/>
    </row>
    <row r="7">
      <c r="A7" s="687" t="s">
        <v>419</v>
      </c>
      <c r="B7" s="688">
        <v>46062.0</v>
      </c>
      <c r="C7" s="688">
        <v>46062.0</v>
      </c>
      <c r="D7" s="689">
        <v>0.3958333333333333</v>
      </c>
      <c r="E7" s="687" t="s">
        <v>423</v>
      </c>
      <c r="F7" s="687" t="s">
        <v>67</v>
      </c>
      <c r="G7" s="687" t="s">
        <v>35</v>
      </c>
      <c r="H7" s="690" t="s">
        <v>421</v>
      </c>
      <c r="I7" s="691">
        <v>45894.0</v>
      </c>
      <c r="J7" s="692">
        <v>0.7013888888888888</v>
      </c>
      <c r="K7" s="693" t="s">
        <v>422</v>
      </c>
      <c r="L7" s="694"/>
    </row>
    <row r="8">
      <c r="A8" s="695" t="s">
        <v>419</v>
      </c>
      <c r="B8" s="696">
        <v>46065.0</v>
      </c>
      <c r="C8" s="696">
        <v>46064.0</v>
      </c>
      <c r="D8" s="695" t="s">
        <v>421</v>
      </c>
      <c r="E8" s="695" t="s">
        <v>424</v>
      </c>
      <c r="F8" s="695" t="s">
        <v>67</v>
      </c>
      <c r="G8" s="695" t="s">
        <v>39</v>
      </c>
      <c r="H8" s="695" t="s">
        <v>421</v>
      </c>
      <c r="I8" s="697"/>
      <c r="J8" s="697"/>
      <c r="K8" s="697"/>
      <c r="L8" s="694"/>
    </row>
    <row r="9">
      <c r="A9" s="697"/>
      <c r="B9" s="697"/>
      <c r="C9" s="697"/>
      <c r="D9" s="697"/>
      <c r="E9" s="697"/>
      <c r="F9" s="697"/>
      <c r="G9" s="697"/>
      <c r="H9" s="697"/>
      <c r="I9" s="697"/>
      <c r="J9" s="697"/>
      <c r="K9" s="697"/>
      <c r="L9" s="694"/>
    </row>
    <row r="10">
      <c r="A10" s="697"/>
      <c r="B10" s="697"/>
      <c r="C10" s="697"/>
      <c r="D10" s="697"/>
      <c r="E10" s="697"/>
      <c r="F10" s="697"/>
      <c r="G10" s="697"/>
      <c r="H10" s="697"/>
      <c r="I10" s="697"/>
      <c r="J10" s="697"/>
      <c r="K10" s="697"/>
      <c r="L10" s="694"/>
    </row>
    <row r="11">
      <c r="A11" s="697"/>
      <c r="B11" s="697"/>
      <c r="C11" s="697"/>
      <c r="D11" s="697"/>
      <c r="E11" s="697"/>
      <c r="F11" s="697"/>
      <c r="G11" s="697"/>
      <c r="H11" s="697"/>
      <c r="I11" s="697"/>
      <c r="J11" s="697"/>
      <c r="K11" s="697"/>
      <c r="L11" s="694"/>
    </row>
    <row r="12">
      <c r="A12" s="694"/>
      <c r="B12" s="694"/>
      <c r="C12" s="694"/>
      <c r="D12" s="694"/>
      <c r="E12" s="694"/>
      <c r="F12" s="694"/>
      <c r="G12" s="694"/>
      <c r="H12" s="694"/>
      <c r="I12" s="694"/>
      <c r="J12" s="694"/>
      <c r="K12" s="694"/>
      <c r="L12" s="694"/>
    </row>
    <row r="13">
      <c r="A13" s="694"/>
      <c r="B13" s="694"/>
      <c r="C13" s="694"/>
      <c r="D13" s="694"/>
      <c r="E13" s="694"/>
      <c r="F13" s="694"/>
      <c r="G13" s="694"/>
      <c r="H13" s="694"/>
      <c r="I13" s="694"/>
      <c r="J13" s="694"/>
      <c r="K13" s="694"/>
      <c r="L13" s="694"/>
    </row>
    <row r="14">
      <c r="A14" s="694"/>
      <c r="B14" s="694"/>
      <c r="C14" s="694"/>
      <c r="D14" s="694"/>
      <c r="E14" s="694"/>
      <c r="F14" s="694"/>
      <c r="G14" s="694"/>
      <c r="H14" s="694"/>
      <c r="I14" s="694"/>
      <c r="J14" s="694"/>
      <c r="K14" s="694"/>
      <c r="L14" s="694"/>
    </row>
    <row r="15">
      <c r="A15" s="694"/>
      <c r="B15" s="694"/>
      <c r="C15" s="694"/>
      <c r="D15" s="694"/>
      <c r="E15" s="694"/>
      <c r="F15" s="694"/>
      <c r="G15" s="694"/>
      <c r="H15" s="694"/>
      <c r="I15" s="694"/>
      <c r="J15" s="694"/>
      <c r="K15" s="694"/>
      <c r="L15" s="694"/>
    </row>
    <row r="16">
      <c r="A16" s="694"/>
      <c r="B16" s="694"/>
      <c r="C16" s="694"/>
      <c r="D16" s="694"/>
      <c r="E16" s="694"/>
      <c r="F16" s="694"/>
      <c r="G16" s="694"/>
      <c r="H16" s="694"/>
      <c r="I16" s="694"/>
      <c r="J16" s="694"/>
      <c r="K16" s="694"/>
      <c r="L16" s="694"/>
    </row>
    <row r="17">
      <c r="A17" s="694"/>
      <c r="B17" s="694"/>
      <c r="C17" s="694"/>
      <c r="D17" s="694"/>
      <c r="E17" s="694"/>
      <c r="F17" s="694"/>
      <c r="G17" s="694"/>
      <c r="H17" s="694"/>
      <c r="I17" s="694"/>
      <c r="J17" s="694"/>
      <c r="K17" s="694"/>
      <c r="L17" s="694"/>
    </row>
  </sheetData>
  <mergeCells count="1">
    <mergeCell ref="B2:K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2.75"/>
    <col customWidth="1" min="3" max="3" width="9.0"/>
    <col customWidth="1" min="4" max="4" width="9.75"/>
    <col customWidth="1" min="5" max="5" width="11.38"/>
    <col customWidth="1" min="6" max="6" width="10.13"/>
    <col customWidth="1" min="7" max="7" width="21.13"/>
    <col customWidth="1" min="8" max="8" width="4.38"/>
    <col customWidth="1" min="9" max="9" width="8.88"/>
    <col customWidth="1" min="10" max="10" width="10.38"/>
    <col customWidth="1" min="11" max="11" width="11.0"/>
    <col customWidth="1" min="12" max="12" width="9.0"/>
    <col customWidth="1" min="13" max="13" width="17.0"/>
    <col customWidth="1" min="14" max="14" width="11.75"/>
    <col customWidth="1" min="15" max="15" width="8.88"/>
    <col customWidth="1" min="16" max="16" width="18.88"/>
    <col customWidth="1" min="17" max="17" width="10.63"/>
    <col customWidth="1" min="18" max="18" width="10.38"/>
    <col customWidth="1" min="19" max="19" width="13.75"/>
    <col customWidth="1" min="20" max="20" width="21.25"/>
    <col customWidth="1" min="21" max="26" width="8.88"/>
  </cols>
  <sheetData>
    <row r="1" ht="26.25" customHeight="1">
      <c r="A1" s="698" t="s">
        <v>425</v>
      </c>
      <c r="P1" s="699" t="s">
        <v>426</v>
      </c>
    </row>
    <row r="2">
      <c r="P2" s="700" t="s">
        <v>427</v>
      </c>
      <c r="Q2" s="700" t="s">
        <v>428</v>
      </c>
      <c r="R2" s="700" t="s">
        <v>429</v>
      </c>
      <c r="S2" s="700" t="s">
        <v>77</v>
      </c>
      <c r="T2" s="700" t="s">
        <v>430</v>
      </c>
    </row>
    <row r="3">
      <c r="A3" s="701"/>
      <c r="B3" s="702"/>
      <c r="C3" s="703" t="s">
        <v>2</v>
      </c>
      <c r="D3" s="322"/>
      <c r="E3" s="322"/>
      <c r="F3" s="322"/>
      <c r="G3" s="323"/>
      <c r="H3" s="702"/>
      <c r="I3" s="703" t="s">
        <v>3</v>
      </c>
      <c r="J3" s="322"/>
      <c r="K3" s="322"/>
      <c r="L3" s="322"/>
      <c r="M3" s="323"/>
      <c r="P3" s="704" t="s">
        <v>112</v>
      </c>
      <c r="Q3" s="704">
        <v>285.0</v>
      </c>
      <c r="R3" s="704">
        <f>1.5+1</f>
        <v>2.5</v>
      </c>
      <c r="S3" s="705">
        <f t="shared" ref="S3:S4" si="1">+Q3*R3</f>
        <v>712.5</v>
      </c>
      <c r="T3" s="706" t="s">
        <v>2</v>
      </c>
    </row>
    <row r="4" ht="39.0" customHeight="1">
      <c r="A4" s="707"/>
      <c r="B4" s="708" t="s">
        <v>431</v>
      </c>
      <c r="C4" s="708" t="s">
        <v>105</v>
      </c>
      <c r="D4" s="709" t="s">
        <v>432</v>
      </c>
      <c r="E4" s="708" t="s">
        <v>338</v>
      </c>
      <c r="F4" s="708" t="s">
        <v>339</v>
      </c>
      <c r="G4" s="708" t="s">
        <v>433</v>
      </c>
      <c r="H4" s="708"/>
      <c r="I4" s="708" t="s">
        <v>105</v>
      </c>
      <c r="J4" s="708" t="s">
        <v>106</v>
      </c>
      <c r="K4" s="708" t="s">
        <v>107</v>
      </c>
      <c r="L4" s="708" t="s">
        <v>108</v>
      </c>
      <c r="M4" s="708" t="s">
        <v>109</v>
      </c>
      <c r="P4" s="704" t="s">
        <v>121</v>
      </c>
      <c r="Q4" s="704">
        <v>285.0</v>
      </c>
      <c r="R4" s="704">
        <v>3.0</v>
      </c>
      <c r="S4" s="705">
        <f t="shared" si="1"/>
        <v>855</v>
      </c>
      <c r="T4" s="704" t="s">
        <v>434</v>
      </c>
    </row>
    <row r="5" ht="26.25" customHeight="1">
      <c r="A5" s="710" t="s">
        <v>19</v>
      </c>
      <c r="B5" s="711" t="s">
        <v>435</v>
      </c>
      <c r="C5" s="712" t="s">
        <v>93</v>
      </c>
      <c r="D5" s="712">
        <v>13.0</v>
      </c>
      <c r="E5" s="712" t="s">
        <v>436</v>
      </c>
      <c r="F5" s="713" t="s">
        <v>353</v>
      </c>
      <c r="G5" s="714" t="s">
        <v>112</v>
      </c>
      <c r="H5" s="715"/>
      <c r="I5" s="716" t="s">
        <v>98</v>
      </c>
      <c r="J5" s="717">
        <v>7.0</v>
      </c>
      <c r="K5" s="717" t="s">
        <v>436</v>
      </c>
      <c r="L5" s="718" t="s">
        <v>353</v>
      </c>
      <c r="M5" s="718" t="s">
        <v>121</v>
      </c>
      <c r="P5" s="719" t="s">
        <v>437</v>
      </c>
      <c r="Q5" s="720"/>
      <c r="R5" s="721" t="s">
        <v>438</v>
      </c>
      <c r="S5" s="722">
        <f>SUM(S3:S4)</f>
        <v>1567.5</v>
      </c>
      <c r="T5" s="704"/>
    </row>
    <row r="6" ht="25.5" customHeight="1">
      <c r="A6" s="610"/>
      <c r="B6" s="723"/>
      <c r="C6" s="724" t="s">
        <v>98</v>
      </c>
      <c r="D6" s="724">
        <v>7.0</v>
      </c>
      <c r="E6" s="724" t="s">
        <v>436</v>
      </c>
      <c r="F6" s="725" t="s">
        <v>439</v>
      </c>
      <c r="G6" s="726" t="s">
        <v>112</v>
      </c>
      <c r="H6" s="727"/>
      <c r="I6" s="716" t="s">
        <v>93</v>
      </c>
      <c r="J6" s="717">
        <v>13.0</v>
      </c>
      <c r="K6" s="717" t="s">
        <v>436</v>
      </c>
      <c r="L6" s="718" t="s">
        <v>232</v>
      </c>
      <c r="M6" s="718" t="s">
        <v>121</v>
      </c>
      <c r="P6" s="728"/>
      <c r="Q6" s="728"/>
      <c r="T6" s="704"/>
    </row>
    <row r="7" ht="25.5" customHeight="1">
      <c r="A7" s="729"/>
      <c r="B7" s="443"/>
      <c r="C7" s="443"/>
      <c r="D7" s="443"/>
      <c r="E7" s="443"/>
      <c r="F7" s="730"/>
      <c r="G7" s="731" t="s">
        <v>252</v>
      </c>
      <c r="H7" s="732"/>
      <c r="I7" s="733" t="s">
        <v>440</v>
      </c>
      <c r="J7" s="105"/>
      <c r="K7" s="105"/>
      <c r="L7" s="106"/>
      <c r="M7" s="734" t="s">
        <v>252</v>
      </c>
      <c r="P7" s="728"/>
      <c r="Q7" s="728"/>
      <c r="R7" s="735"/>
      <c r="S7" s="736"/>
      <c r="T7" s="728"/>
    </row>
    <row r="8">
      <c r="A8" s="737" t="s">
        <v>441</v>
      </c>
      <c r="B8" s="105"/>
      <c r="C8" s="105"/>
      <c r="D8" s="105"/>
      <c r="E8" s="105"/>
      <c r="F8" s="105"/>
      <c r="G8" s="106"/>
      <c r="H8" s="732"/>
      <c r="I8" s="738"/>
      <c r="J8" s="738"/>
      <c r="K8" s="738"/>
      <c r="L8" s="738"/>
      <c r="M8" s="739"/>
    </row>
    <row r="9">
      <c r="A9" s="740"/>
      <c r="B9" s="738"/>
      <c r="C9" s="738"/>
      <c r="D9" s="738"/>
      <c r="E9" s="738"/>
      <c r="F9" s="741"/>
      <c r="G9" s="732"/>
      <c r="H9" s="732"/>
      <c r="I9" s="738"/>
      <c r="J9" s="738"/>
      <c r="K9" s="738"/>
      <c r="L9" s="738"/>
      <c r="M9" s="739"/>
      <c r="T9" s="704"/>
    </row>
    <row r="10">
      <c r="A10" s="701"/>
      <c r="B10" s="702"/>
      <c r="C10" s="703" t="s">
        <v>2</v>
      </c>
      <c r="D10" s="322"/>
      <c r="E10" s="322"/>
      <c r="F10" s="322"/>
      <c r="G10" s="323"/>
      <c r="H10" s="702"/>
      <c r="I10" s="742" t="s">
        <v>3</v>
      </c>
      <c r="J10" s="101"/>
      <c r="K10" s="101"/>
      <c r="L10" s="101"/>
      <c r="M10" s="101"/>
      <c r="N10" s="102"/>
      <c r="P10" s="699" t="s">
        <v>442</v>
      </c>
    </row>
    <row r="11">
      <c r="A11" s="707"/>
      <c r="B11" s="708" t="s">
        <v>431</v>
      </c>
      <c r="C11" s="708" t="s">
        <v>105</v>
      </c>
      <c r="D11" s="709" t="s">
        <v>432</v>
      </c>
      <c r="E11" s="708" t="s">
        <v>338</v>
      </c>
      <c r="F11" s="708" t="s">
        <v>339</v>
      </c>
      <c r="G11" s="708" t="s">
        <v>433</v>
      </c>
      <c r="H11" s="708"/>
      <c r="I11" s="708" t="s">
        <v>105</v>
      </c>
      <c r="J11" s="708" t="s">
        <v>106</v>
      </c>
      <c r="K11" s="708" t="s">
        <v>107</v>
      </c>
      <c r="L11" s="708" t="s">
        <v>108</v>
      </c>
      <c r="M11" s="743" t="s">
        <v>109</v>
      </c>
      <c r="N11" s="744" t="s">
        <v>443</v>
      </c>
      <c r="P11" s="700" t="s">
        <v>427</v>
      </c>
      <c r="Q11" s="700" t="s">
        <v>428</v>
      </c>
      <c r="R11" s="700" t="s">
        <v>429</v>
      </c>
      <c r="S11" s="700" t="s">
        <v>77</v>
      </c>
      <c r="T11" s="700" t="s">
        <v>430</v>
      </c>
    </row>
    <row r="12" ht="27.0" customHeight="1">
      <c r="A12" s="745" t="s">
        <v>19</v>
      </c>
      <c r="B12" s="746" t="s">
        <v>1</v>
      </c>
      <c r="C12" s="724" t="s">
        <v>85</v>
      </c>
      <c r="D12" s="724">
        <v>23.0</v>
      </c>
      <c r="E12" s="724" t="s">
        <v>444</v>
      </c>
      <c r="F12" s="725" t="s">
        <v>216</v>
      </c>
      <c r="G12" s="747" t="s">
        <v>445</v>
      </c>
      <c r="H12" s="727"/>
      <c r="I12" s="717" t="s">
        <v>85</v>
      </c>
      <c r="J12" s="717">
        <v>23.0</v>
      </c>
      <c r="K12" s="717" t="s">
        <v>446</v>
      </c>
      <c r="L12" s="748" t="s">
        <v>447</v>
      </c>
      <c r="M12" s="749" t="s">
        <v>115</v>
      </c>
      <c r="N12" s="750" t="s">
        <v>448</v>
      </c>
      <c r="P12" s="751" t="s">
        <v>112</v>
      </c>
      <c r="Q12" s="752">
        <v>285.0</v>
      </c>
      <c r="R12" s="751">
        <v>4.0</v>
      </c>
      <c r="S12" s="752">
        <f t="shared" ref="S12:S17" si="2">+Q12*R12</f>
        <v>1140</v>
      </c>
      <c r="T12" s="751" t="s">
        <v>16</v>
      </c>
    </row>
    <row r="13">
      <c r="A13" s="397"/>
      <c r="B13" s="397"/>
      <c r="C13" s="724" t="s">
        <v>98</v>
      </c>
      <c r="D13" s="724">
        <v>17.0</v>
      </c>
      <c r="E13" s="724" t="s">
        <v>444</v>
      </c>
      <c r="F13" s="725" t="s">
        <v>449</v>
      </c>
      <c r="G13" s="397"/>
      <c r="H13" s="727"/>
      <c r="I13" s="753" t="s">
        <v>98</v>
      </c>
      <c r="J13" s="753">
        <v>17.0</v>
      </c>
      <c r="K13" s="717" t="s">
        <v>446</v>
      </c>
      <c r="L13" s="748" t="s">
        <v>87</v>
      </c>
      <c r="M13" s="749" t="s">
        <v>115</v>
      </c>
      <c r="N13" s="750" t="s">
        <v>448</v>
      </c>
      <c r="P13" s="751" t="s">
        <v>321</v>
      </c>
      <c r="Q13" s="752">
        <v>1850.0</v>
      </c>
      <c r="R13" s="751">
        <v>1.0</v>
      </c>
      <c r="S13" s="752">
        <f t="shared" si="2"/>
        <v>1850</v>
      </c>
      <c r="T13" s="751" t="s">
        <v>450</v>
      </c>
    </row>
    <row r="14" ht="66.0" customHeight="1">
      <c r="A14" s="397"/>
      <c r="B14" s="397"/>
      <c r="C14" s="724" t="s">
        <v>93</v>
      </c>
      <c r="D14" s="724">
        <v>69.0</v>
      </c>
      <c r="E14" s="724" t="s">
        <v>444</v>
      </c>
      <c r="F14" s="725" t="s">
        <v>256</v>
      </c>
      <c r="G14" s="397"/>
      <c r="H14" s="732"/>
      <c r="I14" s="754" t="s">
        <v>93</v>
      </c>
      <c r="J14" s="754">
        <v>69.0</v>
      </c>
      <c r="K14" s="717" t="s">
        <v>446</v>
      </c>
      <c r="L14" s="754" t="s">
        <v>451</v>
      </c>
      <c r="M14" s="755" t="s">
        <v>452</v>
      </c>
      <c r="N14" s="754" t="s">
        <v>448</v>
      </c>
      <c r="P14" s="751" t="s">
        <v>115</v>
      </c>
      <c r="Q14" s="752">
        <v>285.0</v>
      </c>
      <c r="R14" s="756">
        <v>2.0</v>
      </c>
      <c r="S14" s="752">
        <f t="shared" si="2"/>
        <v>570</v>
      </c>
      <c r="T14" s="751" t="s">
        <v>453</v>
      </c>
    </row>
    <row r="15" ht="30.75" customHeight="1">
      <c r="A15" s="426"/>
      <c r="B15" s="426"/>
      <c r="C15" s="757"/>
      <c r="D15" s="757"/>
      <c r="E15" s="757"/>
      <c r="F15" s="757"/>
      <c r="G15" s="426"/>
      <c r="H15" s="758"/>
      <c r="I15" s="733" t="s">
        <v>440</v>
      </c>
      <c r="J15" s="105"/>
      <c r="K15" s="105"/>
      <c r="L15" s="106"/>
      <c r="M15" s="734" t="s">
        <v>121</v>
      </c>
      <c r="N15" s="758"/>
      <c r="P15" s="751" t="s">
        <v>243</v>
      </c>
      <c r="Q15" s="752">
        <v>285.0</v>
      </c>
      <c r="R15" s="756">
        <v>4.0</v>
      </c>
      <c r="S15" s="752">
        <f t="shared" si="2"/>
        <v>1140</v>
      </c>
      <c r="T15" s="756" t="s">
        <v>16</v>
      </c>
    </row>
    <row r="16" ht="22.5" customHeight="1">
      <c r="A16" s="758"/>
      <c r="B16" s="758"/>
      <c r="C16" s="733" t="s">
        <v>454</v>
      </c>
      <c r="D16" s="105"/>
      <c r="E16" s="105"/>
      <c r="F16" s="106"/>
      <c r="G16" s="759" t="s">
        <v>121</v>
      </c>
      <c r="H16" s="758"/>
      <c r="I16" s="758"/>
      <c r="J16" s="758"/>
      <c r="K16" s="758"/>
      <c r="L16" s="758"/>
      <c r="M16" s="758"/>
      <c r="N16" s="758"/>
      <c r="P16" s="760" t="s">
        <v>177</v>
      </c>
      <c r="Q16" s="752">
        <v>285.0</v>
      </c>
      <c r="R16" s="756">
        <v>2.0</v>
      </c>
      <c r="S16" s="761">
        <f t="shared" si="2"/>
        <v>570</v>
      </c>
      <c r="T16" s="760" t="s">
        <v>427</v>
      </c>
    </row>
    <row r="17">
      <c r="A17" s="737" t="s">
        <v>455</v>
      </c>
      <c r="B17" s="105"/>
      <c r="C17" s="105"/>
      <c r="D17" s="105"/>
      <c r="E17" s="105"/>
      <c r="F17" s="105"/>
      <c r="G17" s="106"/>
      <c r="H17" s="758"/>
      <c r="I17" s="758"/>
      <c r="J17" s="758"/>
      <c r="K17" s="758"/>
      <c r="L17" s="758"/>
      <c r="M17" s="758"/>
      <c r="N17" s="758"/>
      <c r="P17" s="762" t="s">
        <v>121</v>
      </c>
      <c r="Q17" s="752">
        <v>165.0</v>
      </c>
      <c r="R17" s="756">
        <f>1+1.5+2</f>
        <v>4.5</v>
      </c>
      <c r="S17" s="761">
        <f t="shared" si="2"/>
        <v>742.5</v>
      </c>
      <c r="T17" s="760" t="s">
        <v>28</v>
      </c>
    </row>
    <row r="18">
      <c r="A18" s="763"/>
      <c r="B18" s="758"/>
      <c r="C18" s="758"/>
      <c r="D18" s="758"/>
      <c r="E18" s="758"/>
      <c r="F18" s="758"/>
      <c r="G18" s="758"/>
      <c r="H18" s="758"/>
      <c r="I18" s="758"/>
      <c r="J18" s="758"/>
      <c r="K18" s="758"/>
      <c r="L18" s="758"/>
      <c r="M18" s="758"/>
      <c r="N18" s="758"/>
      <c r="P18" s="751" t="s">
        <v>325</v>
      </c>
      <c r="Q18" s="764"/>
      <c r="R18" s="764"/>
      <c r="S18" s="764"/>
      <c r="T18" s="764"/>
    </row>
    <row r="19">
      <c r="A19" s="765"/>
      <c r="E19" s="99">
        <f>0.5+1+2</f>
        <v>3.5</v>
      </c>
      <c r="K19" s="99">
        <f>1.5+1.5</f>
        <v>3</v>
      </c>
      <c r="P19" s="719" t="s">
        <v>456</v>
      </c>
      <c r="Q19" s="720"/>
      <c r="R19" s="721" t="s">
        <v>438</v>
      </c>
      <c r="S19" s="722">
        <f>SUM(S12:S17)</f>
        <v>6012.5</v>
      </c>
    </row>
    <row r="20">
      <c r="A20" s="765"/>
    </row>
    <row r="21" ht="15.75" customHeight="1">
      <c r="A21" s="765"/>
    </row>
    <row r="22" ht="15.75" customHeight="1">
      <c r="A22" s="765"/>
    </row>
    <row r="23" ht="15.75" customHeight="1">
      <c r="A23" s="765"/>
    </row>
    <row r="24" ht="15.75" customHeight="1">
      <c r="A24" s="765"/>
    </row>
    <row r="25" ht="15.75" customHeight="1">
      <c r="A25" s="765"/>
    </row>
    <row r="26" ht="15.75" customHeight="1">
      <c r="A26" s="765"/>
    </row>
    <row r="27" ht="15.75" customHeight="1">
      <c r="A27" s="701"/>
      <c r="B27" s="702"/>
      <c r="C27" s="703" t="s">
        <v>2</v>
      </c>
      <c r="D27" s="322"/>
      <c r="E27" s="322"/>
      <c r="F27" s="322"/>
      <c r="G27" s="323"/>
      <c r="H27" s="702"/>
      <c r="I27" s="742" t="s">
        <v>3</v>
      </c>
      <c r="J27" s="101"/>
      <c r="K27" s="101"/>
      <c r="L27" s="101"/>
      <c r="M27" s="101"/>
      <c r="N27" s="102"/>
      <c r="P27" s="699" t="s">
        <v>457</v>
      </c>
    </row>
    <row r="28" ht="15.75" customHeight="1">
      <c r="A28" s="766"/>
      <c r="B28" s="767" t="s">
        <v>431</v>
      </c>
      <c r="C28" s="767" t="s">
        <v>105</v>
      </c>
      <c r="D28" s="768" t="s">
        <v>432</v>
      </c>
      <c r="E28" s="767" t="s">
        <v>338</v>
      </c>
      <c r="F28" s="767" t="s">
        <v>339</v>
      </c>
      <c r="G28" s="767" t="s">
        <v>433</v>
      </c>
      <c r="H28" s="767"/>
      <c r="I28" s="767" t="s">
        <v>105</v>
      </c>
      <c r="J28" s="767" t="s">
        <v>106</v>
      </c>
      <c r="K28" s="767" t="s">
        <v>107</v>
      </c>
      <c r="L28" s="767" t="s">
        <v>108</v>
      </c>
      <c r="M28" s="769" t="s">
        <v>109</v>
      </c>
      <c r="N28" s="770" t="s">
        <v>443</v>
      </c>
      <c r="P28" s="700" t="s">
        <v>427</v>
      </c>
      <c r="Q28" s="700" t="s">
        <v>428</v>
      </c>
      <c r="R28" s="700" t="s">
        <v>429</v>
      </c>
      <c r="S28" s="700" t="s">
        <v>77</v>
      </c>
      <c r="T28" s="700" t="s">
        <v>430</v>
      </c>
    </row>
    <row r="29" ht="63.75" customHeight="1">
      <c r="A29" s="771" t="s">
        <v>19</v>
      </c>
      <c r="B29" s="772" t="s">
        <v>1</v>
      </c>
      <c r="C29" s="773" t="s">
        <v>169</v>
      </c>
      <c r="D29" s="773">
        <v>127.0</v>
      </c>
      <c r="E29" s="774" t="s">
        <v>458</v>
      </c>
      <c r="F29" s="775" t="s">
        <v>49</v>
      </c>
      <c r="G29" s="776" t="s">
        <v>459</v>
      </c>
      <c r="H29" s="777"/>
      <c r="I29" s="778" t="s">
        <v>169</v>
      </c>
      <c r="J29" s="778">
        <v>127.0</v>
      </c>
      <c r="K29" s="778" t="s">
        <v>460</v>
      </c>
      <c r="L29" s="779">
        <v>0.5</v>
      </c>
      <c r="M29" s="780" t="s">
        <v>461</v>
      </c>
      <c r="N29" s="781" t="s">
        <v>448</v>
      </c>
      <c r="P29" s="782" t="s">
        <v>112</v>
      </c>
      <c r="Q29" s="783">
        <v>285.0</v>
      </c>
      <c r="R29" s="784">
        <f>3.5+1+2.5</f>
        <v>7</v>
      </c>
      <c r="S29" s="783">
        <f t="shared" ref="S29:S46" si="3">+Q29*R29</f>
        <v>1995</v>
      </c>
      <c r="T29" s="784" t="s">
        <v>462</v>
      </c>
    </row>
    <row r="30" ht="30.75" customHeight="1">
      <c r="A30" s="397"/>
      <c r="B30" s="397"/>
      <c r="C30" s="773" t="s">
        <v>162</v>
      </c>
      <c r="D30" s="773">
        <v>38.0</v>
      </c>
      <c r="E30" s="426"/>
      <c r="F30" s="775" t="s">
        <v>101</v>
      </c>
      <c r="G30" s="426"/>
      <c r="H30" s="777"/>
      <c r="I30" s="785" t="s">
        <v>162</v>
      </c>
      <c r="J30" s="785">
        <v>38.0</v>
      </c>
      <c r="K30" s="785" t="s">
        <v>460</v>
      </c>
      <c r="L30" s="786">
        <v>0.375</v>
      </c>
      <c r="M30" s="787" t="s">
        <v>463</v>
      </c>
      <c r="N30" s="788" t="s">
        <v>448</v>
      </c>
      <c r="P30" s="426"/>
      <c r="Q30" s="783">
        <f>165+50</f>
        <v>215</v>
      </c>
      <c r="R30" s="784">
        <v>2.5</v>
      </c>
      <c r="S30" s="783">
        <f t="shared" si="3"/>
        <v>537.5</v>
      </c>
      <c r="T30" s="784" t="s">
        <v>464</v>
      </c>
    </row>
    <row r="31" ht="21.0" customHeight="1">
      <c r="A31" s="397"/>
      <c r="B31" s="397"/>
      <c r="C31" s="773" t="s">
        <v>173</v>
      </c>
      <c r="D31" s="773">
        <v>29.0</v>
      </c>
      <c r="E31" s="789" t="s">
        <v>465</v>
      </c>
      <c r="F31" s="775" t="s">
        <v>22</v>
      </c>
      <c r="G31" s="776" t="s">
        <v>466</v>
      </c>
      <c r="H31" s="790"/>
      <c r="I31" s="791" t="s">
        <v>467</v>
      </c>
      <c r="J31" s="198"/>
      <c r="K31" s="198"/>
      <c r="L31" s="199"/>
      <c r="M31" s="791" t="s">
        <v>325</v>
      </c>
      <c r="N31" s="199"/>
      <c r="P31" s="782" t="s">
        <v>115</v>
      </c>
      <c r="Q31" s="783">
        <v>285.0</v>
      </c>
      <c r="R31" s="792">
        <f>3.5+1+2+3</f>
        <v>9.5</v>
      </c>
      <c r="S31" s="783">
        <f t="shared" si="3"/>
        <v>2707.5</v>
      </c>
      <c r="T31" s="784" t="s">
        <v>468</v>
      </c>
    </row>
    <row r="32" ht="36.0" customHeight="1">
      <c r="A32" s="426"/>
      <c r="B32" s="426"/>
      <c r="C32" s="793"/>
      <c r="D32" s="793"/>
      <c r="E32" s="793"/>
      <c r="F32" s="793"/>
      <c r="G32" s="426"/>
      <c r="H32" s="794"/>
      <c r="I32" s="795" t="s">
        <v>173</v>
      </c>
      <c r="J32" s="796">
        <f>15+14</f>
        <v>29</v>
      </c>
      <c r="K32" s="795" t="s">
        <v>460</v>
      </c>
      <c r="L32" s="795" t="s">
        <v>469</v>
      </c>
      <c r="M32" s="797" t="s">
        <v>115</v>
      </c>
      <c r="N32" s="795" t="s">
        <v>470</v>
      </c>
      <c r="P32" s="426"/>
      <c r="Q32" s="798">
        <f>165+50</f>
        <v>215</v>
      </c>
      <c r="R32" s="792">
        <v>2.5</v>
      </c>
      <c r="S32" s="783">
        <f t="shared" si="3"/>
        <v>537.5</v>
      </c>
      <c r="T32" s="784" t="s">
        <v>464</v>
      </c>
    </row>
    <row r="33" ht="15.75" customHeight="1">
      <c r="A33" s="794"/>
      <c r="B33" s="794"/>
      <c r="C33" s="799" t="s">
        <v>471</v>
      </c>
      <c r="D33" s="105"/>
      <c r="E33" s="105"/>
      <c r="F33" s="106"/>
      <c r="G33" s="800" t="s">
        <v>472</v>
      </c>
      <c r="H33" s="794"/>
      <c r="I33" s="773" t="s">
        <v>173</v>
      </c>
      <c r="J33" s="426"/>
      <c r="K33" s="773" t="s">
        <v>460</v>
      </c>
      <c r="L33" s="773" t="s">
        <v>469</v>
      </c>
      <c r="M33" s="801" t="s">
        <v>473</v>
      </c>
      <c r="N33" s="773" t="s">
        <v>474</v>
      </c>
      <c r="P33" s="784" t="s">
        <v>278</v>
      </c>
      <c r="Q33" s="783">
        <v>285.0</v>
      </c>
      <c r="R33" s="784">
        <f>3.5+1</f>
        <v>4.5</v>
      </c>
      <c r="S33" s="783">
        <f t="shared" si="3"/>
        <v>1282.5</v>
      </c>
      <c r="T33" s="784" t="s">
        <v>16</v>
      </c>
    </row>
    <row r="34" ht="15.75" customHeight="1">
      <c r="A34" s="802" t="s">
        <v>475</v>
      </c>
      <c r="B34" s="105"/>
      <c r="C34" s="105"/>
      <c r="D34" s="105"/>
      <c r="E34" s="105"/>
      <c r="F34" s="105"/>
      <c r="G34" s="106"/>
      <c r="H34" s="330"/>
      <c r="I34" s="803" t="s">
        <v>476</v>
      </c>
      <c r="J34" s="105"/>
      <c r="K34" s="105"/>
      <c r="L34" s="106"/>
      <c r="M34" s="804" t="s">
        <v>477</v>
      </c>
      <c r="N34" s="330"/>
      <c r="P34" s="784" t="s">
        <v>478</v>
      </c>
      <c r="Q34" s="783">
        <v>285.0</v>
      </c>
      <c r="R34" s="792">
        <v>3.5</v>
      </c>
      <c r="S34" s="783">
        <f t="shared" si="3"/>
        <v>997.5</v>
      </c>
      <c r="T34" s="792" t="s">
        <v>16</v>
      </c>
    </row>
    <row r="35" ht="15.75" customHeight="1">
      <c r="A35" s="330"/>
      <c r="B35" s="330"/>
      <c r="C35" s="330"/>
      <c r="D35" s="330"/>
      <c r="E35" s="330"/>
      <c r="F35" s="330"/>
      <c r="G35" s="330"/>
      <c r="H35" s="330"/>
      <c r="I35" s="805" t="s">
        <v>479</v>
      </c>
      <c r="J35" s="268"/>
      <c r="K35" s="268"/>
      <c r="L35" s="268"/>
      <c r="M35" s="330"/>
      <c r="N35" s="330"/>
      <c r="P35" s="792" t="s">
        <v>212</v>
      </c>
      <c r="Q35" s="798">
        <v>285.0</v>
      </c>
      <c r="R35" s="792">
        <v>1.0</v>
      </c>
      <c r="S35" s="783">
        <f t="shared" si="3"/>
        <v>285</v>
      </c>
      <c r="T35" s="792" t="s">
        <v>16</v>
      </c>
    </row>
    <row r="36" ht="15.75" customHeight="1">
      <c r="A36" s="758"/>
      <c r="B36" s="758"/>
      <c r="C36" s="758"/>
      <c r="D36" s="758"/>
      <c r="E36" s="758"/>
      <c r="F36" s="758"/>
      <c r="G36" s="758"/>
      <c r="H36" s="758"/>
      <c r="I36" s="806"/>
      <c r="J36" s="806"/>
      <c r="K36" s="806"/>
      <c r="L36" s="806"/>
      <c r="M36" s="758" t="s">
        <v>480</v>
      </c>
      <c r="N36" s="758">
        <f>285+50</f>
        <v>335</v>
      </c>
      <c r="P36" s="784" t="s">
        <v>243</v>
      </c>
      <c r="Q36" s="783">
        <v>285.0</v>
      </c>
      <c r="R36" s="784">
        <f>3.5+1+2</f>
        <v>6.5</v>
      </c>
      <c r="S36" s="783">
        <f t="shared" si="3"/>
        <v>1852.5</v>
      </c>
      <c r="T36" s="784" t="s">
        <v>16</v>
      </c>
    </row>
    <row r="37" ht="15.75" customHeight="1">
      <c r="A37" s="758"/>
      <c r="B37" s="758"/>
      <c r="C37" s="758"/>
      <c r="D37" s="758"/>
      <c r="E37" s="758"/>
      <c r="F37" s="758"/>
      <c r="G37" s="758"/>
      <c r="H37" s="758"/>
      <c r="I37" s="806"/>
      <c r="J37" s="806"/>
      <c r="K37" s="806"/>
      <c r="L37" s="806"/>
      <c r="M37" s="758" t="s">
        <v>481</v>
      </c>
      <c r="N37" s="758">
        <f>165+50</f>
        <v>215</v>
      </c>
      <c r="P37" s="784" t="s">
        <v>482</v>
      </c>
      <c r="Q37" s="783">
        <v>285.0</v>
      </c>
      <c r="R37" s="784">
        <f>3.5+1</f>
        <v>4.5</v>
      </c>
      <c r="S37" s="783">
        <f t="shared" si="3"/>
        <v>1282.5</v>
      </c>
      <c r="T37" s="784" t="s">
        <v>16</v>
      </c>
    </row>
    <row r="38" ht="15.75" customHeight="1">
      <c r="A38" s="758"/>
      <c r="B38" s="758"/>
      <c r="C38" s="758"/>
      <c r="D38" s="758"/>
      <c r="E38" s="758"/>
      <c r="F38" s="758"/>
      <c r="G38" s="758"/>
      <c r="H38" s="758"/>
      <c r="I38" s="806"/>
      <c r="J38" s="806"/>
      <c r="K38" s="806"/>
      <c r="L38" s="806"/>
      <c r="M38" s="758"/>
      <c r="N38" s="758"/>
      <c r="P38" s="782" t="s">
        <v>321</v>
      </c>
      <c r="Q38" s="783">
        <v>285.0</v>
      </c>
      <c r="R38" s="784">
        <v>2.0</v>
      </c>
      <c r="S38" s="783">
        <f t="shared" si="3"/>
        <v>570</v>
      </c>
      <c r="T38" s="784" t="s">
        <v>483</v>
      </c>
    </row>
    <row r="39" ht="15.75" customHeight="1">
      <c r="E39" s="330"/>
      <c r="I39" s="807"/>
      <c r="J39" s="807"/>
      <c r="K39" s="807"/>
      <c r="L39" s="807"/>
      <c r="P39" s="426"/>
      <c r="Q39" s="783">
        <v>1850.0</v>
      </c>
      <c r="R39" s="784">
        <v>1.0</v>
      </c>
      <c r="S39" s="783">
        <f t="shared" si="3"/>
        <v>1850</v>
      </c>
      <c r="T39" s="784" t="s">
        <v>484</v>
      </c>
    </row>
    <row r="40" ht="15.75" customHeight="1">
      <c r="I40" s="807"/>
      <c r="J40" s="807"/>
      <c r="K40" s="807"/>
      <c r="L40" s="807"/>
      <c r="P40" s="784" t="s">
        <v>485</v>
      </c>
      <c r="Q40" s="783">
        <v>285.0</v>
      </c>
      <c r="R40" s="784">
        <f>3.5+1+2</f>
        <v>6.5</v>
      </c>
      <c r="S40" s="783">
        <f t="shared" si="3"/>
        <v>1852.5</v>
      </c>
      <c r="T40" s="784" t="s">
        <v>16</v>
      </c>
    </row>
    <row r="41" ht="15.75" customHeight="1">
      <c r="I41" s="807"/>
      <c r="J41" s="807"/>
      <c r="K41" s="807"/>
      <c r="L41" s="807"/>
      <c r="P41" s="808" t="s">
        <v>177</v>
      </c>
      <c r="Q41" s="798">
        <v>285.0</v>
      </c>
      <c r="R41" s="792">
        <v>3.0</v>
      </c>
      <c r="S41" s="783">
        <f t="shared" si="3"/>
        <v>855</v>
      </c>
      <c r="T41" s="792" t="s">
        <v>486</v>
      </c>
    </row>
    <row r="42" ht="15.75" customHeight="1">
      <c r="P42" s="426"/>
      <c r="Q42" s="798">
        <f>285+50</f>
        <v>335</v>
      </c>
      <c r="R42" s="784">
        <v>2.5</v>
      </c>
      <c r="S42" s="798">
        <f t="shared" si="3"/>
        <v>837.5</v>
      </c>
      <c r="T42" s="792" t="s">
        <v>487</v>
      </c>
    </row>
    <row r="43" ht="15.75" customHeight="1">
      <c r="P43" s="792" t="s">
        <v>488</v>
      </c>
      <c r="Q43" s="798">
        <f>165+50</f>
        <v>215</v>
      </c>
      <c r="R43" s="784">
        <v>2.5</v>
      </c>
      <c r="S43" s="798">
        <f t="shared" si="3"/>
        <v>537.5</v>
      </c>
      <c r="T43" s="792" t="s">
        <v>489</v>
      </c>
    </row>
    <row r="44" ht="15.75" customHeight="1">
      <c r="P44" s="792" t="s">
        <v>121</v>
      </c>
      <c r="Q44" s="798">
        <v>165.0</v>
      </c>
      <c r="R44" s="792">
        <v>2.5</v>
      </c>
      <c r="S44" s="783">
        <f t="shared" si="3"/>
        <v>412.5</v>
      </c>
      <c r="T44" s="792" t="s">
        <v>490</v>
      </c>
    </row>
    <row r="45" ht="15.75" customHeight="1">
      <c r="P45" s="792" t="s">
        <v>491</v>
      </c>
      <c r="Q45" s="798">
        <v>165.0</v>
      </c>
      <c r="R45" s="792">
        <v>3.0</v>
      </c>
      <c r="S45" s="783">
        <f t="shared" si="3"/>
        <v>495</v>
      </c>
      <c r="T45" s="792" t="s">
        <v>492</v>
      </c>
    </row>
    <row r="46" ht="15.75" customHeight="1">
      <c r="P46" s="792" t="s">
        <v>312</v>
      </c>
      <c r="Q46" s="798">
        <v>165.0</v>
      </c>
      <c r="R46" s="792">
        <v>3.0</v>
      </c>
      <c r="S46" s="783">
        <f t="shared" si="3"/>
        <v>495</v>
      </c>
      <c r="T46" s="792" t="s">
        <v>493</v>
      </c>
    </row>
    <row r="47" ht="42.0" customHeight="1">
      <c r="P47" s="809" t="s">
        <v>494</v>
      </c>
      <c r="Q47" s="810"/>
      <c r="R47" s="811" t="s">
        <v>438</v>
      </c>
      <c r="S47" s="812">
        <f>SUM(S29:S46)</f>
        <v>19382.5</v>
      </c>
    </row>
    <row r="48" ht="25.5" customHeight="1"/>
    <row r="49" ht="25.5" customHeight="1">
      <c r="P49" s="699" t="s">
        <v>495</v>
      </c>
    </row>
    <row r="50" ht="15.75" customHeight="1">
      <c r="A50" s="813" t="s">
        <v>2</v>
      </c>
      <c r="B50" s="814"/>
      <c r="C50" s="814"/>
      <c r="D50" s="814"/>
      <c r="E50" s="814"/>
      <c r="F50" s="814"/>
      <c r="G50" s="815"/>
      <c r="H50" s="816"/>
      <c r="I50" s="742" t="s">
        <v>3</v>
      </c>
      <c r="J50" s="101"/>
      <c r="K50" s="101"/>
      <c r="L50" s="101"/>
      <c r="M50" s="101"/>
      <c r="N50" s="102"/>
      <c r="P50" s="700" t="s">
        <v>427</v>
      </c>
      <c r="Q50" s="700" t="s">
        <v>428</v>
      </c>
      <c r="R50" s="700" t="s">
        <v>429</v>
      </c>
      <c r="S50" s="700" t="s">
        <v>77</v>
      </c>
      <c r="T50" s="700" t="s">
        <v>430</v>
      </c>
    </row>
    <row r="51" ht="40.5" customHeight="1">
      <c r="A51" s="817"/>
      <c r="B51" s="818" t="s">
        <v>431</v>
      </c>
      <c r="C51" s="818" t="s">
        <v>105</v>
      </c>
      <c r="D51" s="819" t="s">
        <v>432</v>
      </c>
      <c r="E51" s="818" t="s">
        <v>338</v>
      </c>
      <c r="F51" s="818" t="s">
        <v>339</v>
      </c>
      <c r="G51" s="818" t="s">
        <v>433</v>
      </c>
      <c r="H51" s="820"/>
      <c r="I51" s="708" t="s">
        <v>105</v>
      </c>
      <c r="J51" s="708" t="s">
        <v>106</v>
      </c>
      <c r="K51" s="708" t="s">
        <v>107</v>
      </c>
      <c r="L51" s="708" t="s">
        <v>108</v>
      </c>
      <c r="M51" s="743" t="s">
        <v>109</v>
      </c>
      <c r="N51" s="821" t="s">
        <v>443</v>
      </c>
      <c r="P51" s="784" t="s">
        <v>482</v>
      </c>
      <c r="Q51" s="783">
        <v>285.0</v>
      </c>
      <c r="R51" s="784">
        <v>2.0</v>
      </c>
      <c r="S51" s="783">
        <f t="shared" ref="S51:S57" si="4">+Q51*R51</f>
        <v>570</v>
      </c>
      <c r="T51" s="784" t="s">
        <v>496</v>
      </c>
    </row>
    <row r="52" ht="42.75" customHeight="1">
      <c r="A52" s="822" t="s">
        <v>19</v>
      </c>
      <c r="B52" s="823" t="s">
        <v>497</v>
      </c>
      <c r="C52" s="824" t="s">
        <v>169</v>
      </c>
      <c r="D52" s="825">
        <v>13.0</v>
      </c>
      <c r="E52" s="824" t="s">
        <v>498</v>
      </c>
      <c r="F52" s="826" t="s">
        <v>499</v>
      </c>
      <c r="G52" s="827" t="s">
        <v>500</v>
      </c>
      <c r="H52" s="828"/>
      <c r="I52" s="829" t="s">
        <v>162</v>
      </c>
      <c r="J52" s="830">
        <v>37.0</v>
      </c>
      <c r="K52" s="830" t="s">
        <v>501</v>
      </c>
      <c r="L52" s="831" t="s">
        <v>502</v>
      </c>
      <c r="M52" s="832" t="s">
        <v>503</v>
      </c>
      <c r="N52" s="833"/>
      <c r="P52" s="784" t="s">
        <v>115</v>
      </c>
      <c r="Q52" s="783">
        <v>285.0</v>
      </c>
      <c r="R52" s="784">
        <v>3.0</v>
      </c>
      <c r="S52" s="783">
        <f t="shared" si="4"/>
        <v>855</v>
      </c>
      <c r="T52" s="784" t="s">
        <v>16</v>
      </c>
    </row>
    <row r="53" ht="27.75" customHeight="1">
      <c r="A53" s="397"/>
      <c r="B53" s="823" t="s">
        <v>504</v>
      </c>
      <c r="C53" s="73"/>
      <c r="D53" s="825">
        <v>1.0</v>
      </c>
      <c r="E53" s="65"/>
      <c r="F53" s="73"/>
      <c r="G53" s="834"/>
      <c r="H53" s="828"/>
      <c r="I53" s="610"/>
      <c r="J53" s="610"/>
      <c r="K53" s="610"/>
      <c r="L53" s="723"/>
      <c r="M53" s="835"/>
      <c r="N53" s="836"/>
      <c r="P53" s="784" t="s">
        <v>243</v>
      </c>
      <c r="Q53" s="783">
        <v>285.0</v>
      </c>
      <c r="R53" s="784">
        <v>3.0</v>
      </c>
      <c r="S53" s="783">
        <f t="shared" si="4"/>
        <v>855</v>
      </c>
      <c r="T53" s="784" t="s">
        <v>16</v>
      </c>
    </row>
    <row r="54" ht="51.0" customHeight="1">
      <c r="A54" s="397"/>
      <c r="B54" s="823" t="s">
        <v>497</v>
      </c>
      <c r="C54" s="825" t="s">
        <v>162</v>
      </c>
      <c r="D54" s="825">
        <v>31.0</v>
      </c>
      <c r="E54" s="65"/>
      <c r="F54" s="826" t="s">
        <v>505</v>
      </c>
      <c r="G54" s="834"/>
      <c r="H54" s="828"/>
      <c r="I54" s="712" t="s">
        <v>169</v>
      </c>
      <c r="J54" s="753">
        <f>13+1</f>
        <v>14</v>
      </c>
      <c r="K54" s="753" t="s">
        <v>501</v>
      </c>
      <c r="L54" s="749" t="s">
        <v>272</v>
      </c>
      <c r="M54" s="837" t="s">
        <v>503</v>
      </c>
      <c r="N54" s="199"/>
      <c r="P54" s="782" t="s">
        <v>321</v>
      </c>
      <c r="Q54" s="783">
        <v>285.0</v>
      </c>
      <c r="R54" s="792">
        <v>3.0</v>
      </c>
      <c r="S54" s="783">
        <f t="shared" si="4"/>
        <v>855</v>
      </c>
      <c r="T54" s="784" t="s">
        <v>16</v>
      </c>
    </row>
    <row r="55" ht="26.25" customHeight="1">
      <c r="A55" s="397"/>
      <c r="B55" s="838" t="s">
        <v>218</v>
      </c>
      <c r="C55" s="839" t="s">
        <v>162</v>
      </c>
      <c r="D55" s="839">
        <v>4.0</v>
      </c>
      <c r="E55" s="65"/>
      <c r="F55" s="65"/>
      <c r="G55" s="834"/>
      <c r="H55" s="840"/>
      <c r="I55" s="724"/>
      <c r="J55" s="724"/>
      <c r="K55" s="724"/>
      <c r="L55" s="724"/>
      <c r="M55" s="841"/>
      <c r="N55" s="842"/>
      <c r="P55" s="426"/>
      <c r="Q55" s="783">
        <v>1800.0</v>
      </c>
      <c r="R55" s="784">
        <v>1.0</v>
      </c>
      <c r="S55" s="783">
        <f t="shared" si="4"/>
        <v>1800</v>
      </c>
      <c r="T55" s="843" t="s">
        <v>360</v>
      </c>
    </row>
    <row r="56" ht="15.75" customHeight="1">
      <c r="A56" s="397"/>
      <c r="B56" s="823" t="s">
        <v>504</v>
      </c>
      <c r="C56" s="825" t="s">
        <v>162</v>
      </c>
      <c r="D56" s="825">
        <v>2.0</v>
      </c>
      <c r="E56" s="73"/>
      <c r="F56" s="73"/>
      <c r="G56" s="834"/>
      <c r="H56" s="840"/>
      <c r="I56" s="724"/>
      <c r="J56" s="724"/>
      <c r="K56" s="724"/>
      <c r="L56" s="724"/>
      <c r="M56" s="755"/>
      <c r="N56" s="724"/>
      <c r="P56" s="784" t="s">
        <v>121</v>
      </c>
      <c r="Q56" s="783">
        <v>165.0</v>
      </c>
      <c r="R56" s="784">
        <f>2.5+2</f>
        <v>4.5</v>
      </c>
      <c r="S56" s="783">
        <f t="shared" si="4"/>
        <v>742.5</v>
      </c>
      <c r="T56" s="784" t="s">
        <v>506</v>
      </c>
    </row>
    <row r="57" ht="15.75" customHeight="1">
      <c r="A57" s="426"/>
      <c r="B57" s="844"/>
      <c r="C57" s="845"/>
      <c r="D57" s="845"/>
      <c r="E57" s="846"/>
      <c r="F57" s="846"/>
      <c r="G57" s="847"/>
      <c r="I57" s="733" t="s">
        <v>507</v>
      </c>
      <c r="J57" s="105"/>
      <c r="K57" s="105"/>
      <c r="L57" s="106"/>
      <c r="M57" s="848" t="s">
        <v>277</v>
      </c>
      <c r="N57" s="758"/>
      <c r="P57" s="784" t="s">
        <v>312</v>
      </c>
      <c r="Q57" s="783">
        <v>165.0</v>
      </c>
      <c r="R57" s="843">
        <v>3.0</v>
      </c>
      <c r="S57" s="783">
        <f t="shared" si="4"/>
        <v>495</v>
      </c>
      <c r="T57" s="784" t="s">
        <v>508</v>
      </c>
    </row>
    <row r="58" ht="33.0" customHeight="1">
      <c r="A58" s="849" t="s">
        <v>312</v>
      </c>
      <c r="B58" s="106"/>
      <c r="C58" s="850" t="s">
        <v>509</v>
      </c>
      <c r="D58" s="105"/>
      <c r="E58" s="105"/>
      <c r="F58" s="106"/>
      <c r="G58" s="851" t="s">
        <v>252</v>
      </c>
      <c r="I58" s="758"/>
      <c r="J58" s="758"/>
      <c r="K58" s="758"/>
      <c r="L58" s="758"/>
      <c r="M58" s="758"/>
      <c r="N58" s="758"/>
      <c r="P58" s="852" t="s">
        <v>510</v>
      </c>
      <c r="Q58" s="853"/>
      <c r="R58" s="811" t="s">
        <v>438</v>
      </c>
      <c r="S58" s="812">
        <f>SUM(S51:S57)</f>
        <v>6172.5</v>
      </c>
      <c r="T58" s="854"/>
    </row>
    <row r="59" ht="15.75" customHeight="1">
      <c r="A59" s="855" t="s">
        <v>511</v>
      </c>
      <c r="B59" s="105"/>
      <c r="C59" s="105"/>
      <c r="D59" s="105"/>
      <c r="E59" s="105"/>
      <c r="F59" s="105"/>
      <c r="G59" s="106"/>
      <c r="P59" s="854"/>
      <c r="Q59" s="854"/>
      <c r="R59" s="854"/>
      <c r="S59" s="856"/>
      <c r="T59" s="854"/>
    </row>
    <row r="60" ht="15.0" customHeight="1">
      <c r="A60" s="765"/>
      <c r="P60" s="854"/>
      <c r="Q60" s="854"/>
      <c r="R60" s="854"/>
      <c r="S60" s="856"/>
      <c r="T60" s="854"/>
    </row>
    <row r="61" ht="15.75" customHeight="1">
      <c r="P61" s="854"/>
      <c r="Q61" s="854"/>
      <c r="R61" s="854"/>
      <c r="S61" s="856"/>
      <c r="T61" s="854"/>
    </row>
    <row r="62" ht="15.75" customHeight="1">
      <c r="P62" s="857"/>
      <c r="Q62" s="858"/>
      <c r="R62" s="858"/>
      <c r="S62" s="859"/>
      <c r="T62" s="858"/>
    </row>
    <row r="63" ht="15.75" customHeight="1">
      <c r="P63" s="857"/>
      <c r="Q63" s="858"/>
      <c r="R63" s="858"/>
      <c r="S63" s="859"/>
      <c r="T63" s="858"/>
    </row>
    <row r="64" ht="15.75" customHeight="1">
      <c r="A64" s="860" t="s">
        <v>2</v>
      </c>
      <c r="B64" s="814"/>
      <c r="C64" s="814"/>
      <c r="D64" s="814"/>
      <c r="E64" s="814"/>
      <c r="F64" s="814"/>
      <c r="G64" s="815"/>
      <c r="H64" s="861"/>
      <c r="I64" s="862" t="s">
        <v>3</v>
      </c>
      <c r="J64" s="101"/>
      <c r="K64" s="101"/>
      <c r="L64" s="101"/>
      <c r="M64" s="101"/>
      <c r="N64" s="102"/>
      <c r="P64" s="699" t="s">
        <v>512</v>
      </c>
    </row>
    <row r="65" ht="15.75" customHeight="1">
      <c r="A65" s="863"/>
      <c r="B65" s="864" t="s">
        <v>431</v>
      </c>
      <c r="C65" s="864" t="s">
        <v>105</v>
      </c>
      <c r="D65" s="865" t="s">
        <v>432</v>
      </c>
      <c r="E65" s="864" t="s">
        <v>338</v>
      </c>
      <c r="F65" s="864" t="s">
        <v>339</v>
      </c>
      <c r="G65" s="864" t="s">
        <v>433</v>
      </c>
      <c r="H65" s="864"/>
      <c r="I65" s="864" t="s">
        <v>105</v>
      </c>
      <c r="J65" s="864" t="s">
        <v>106</v>
      </c>
      <c r="K65" s="864" t="s">
        <v>107</v>
      </c>
      <c r="L65" s="864" t="s">
        <v>108</v>
      </c>
      <c r="M65" s="866" t="s">
        <v>109</v>
      </c>
      <c r="N65" s="867" t="s">
        <v>443</v>
      </c>
      <c r="P65" s="700" t="s">
        <v>427</v>
      </c>
      <c r="Q65" s="700" t="s">
        <v>428</v>
      </c>
      <c r="R65" s="700" t="s">
        <v>429</v>
      </c>
      <c r="S65" s="700" t="s">
        <v>77</v>
      </c>
      <c r="T65" s="700" t="s">
        <v>430</v>
      </c>
    </row>
    <row r="66" ht="15.75" customHeight="1">
      <c r="A66" s="868" t="s">
        <v>19</v>
      </c>
      <c r="B66" s="838" t="s">
        <v>513</v>
      </c>
      <c r="C66" s="869" t="s">
        <v>186</v>
      </c>
      <c r="D66" s="869">
        <v>10.0</v>
      </c>
      <c r="E66" s="870">
        <v>45373.0</v>
      </c>
      <c r="F66" s="871" t="s">
        <v>439</v>
      </c>
      <c r="G66" s="872" t="s">
        <v>243</v>
      </c>
      <c r="H66" s="873"/>
      <c r="I66" s="874" t="s">
        <v>186</v>
      </c>
      <c r="J66" s="874">
        <v>10.0</v>
      </c>
      <c r="K66" s="875">
        <v>45373.0</v>
      </c>
      <c r="L66" s="876" t="s">
        <v>353</v>
      </c>
      <c r="M66" s="877" t="s">
        <v>514</v>
      </c>
      <c r="N66" s="878" t="s">
        <v>515</v>
      </c>
      <c r="O66" s="437"/>
      <c r="P66" s="879" t="s">
        <v>243</v>
      </c>
      <c r="Q66" s="880">
        <v>285.0</v>
      </c>
      <c r="R66" s="879">
        <v>2.5</v>
      </c>
      <c r="S66" s="880">
        <f t="shared" ref="S66:S67" si="5">+Q66*R66</f>
        <v>712.5</v>
      </c>
      <c r="T66" s="879" t="s">
        <v>16</v>
      </c>
    </row>
    <row r="67" ht="15.75" customHeight="1">
      <c r="A67" s="73"/>
      <c r="B67" s="838" t="s">
        <v>513</v>
      </c>
      <c r="C67" s="869" t="s">
        <v>230</v>
      </c>
      <c r="D67" s="869">
        <v>13.0</v>
      </c>
      <c r="E67" s="870">
        <v>45373.0</v>
      </c>
      <c r="F67" s="871" t="s">
        <v>353</v>
      </c>
      <c r="G67" s="872" t="s">
        <v>243</v>
      </c>
      <c r="H67" s="873"/>
      <c r="I67" s="874" t="s">
        <v>230</v>
      </c>
      <c r="J67" s="874">
        <v>13.0</v>
      </c>
      <c r="K67" s="875">
        <v>45373.0</v>
      </c>
      <c r="L67" s="881" t="s">
        <v>138</v>
      </c>
      <c r="M67" s="882" t="s">
        <v>514</v>
      </c>
      <c r="N67" s="878" t="s">
        <v>515</v>
      </c>
      <c r="O67" s="437"/>
      <c r="P67" s="883" t="s">
        <v>177</v>
      </c>
      <c r="Q67" s="883">
        <v>285.0</v>
      </c>
      <c r="R67" s="883">
        <v>2.5</v>
      </c>
      <c r="S67" s="880">
        <f t="shared" si="5"/>
        <v>712.5</v>
      </c>
      <c r="T67" s="883" t="s">
        <v>360</v>
      </c>
    </row>
    <row r="68" ht="15.75" customHeight="1">
      <c r="A68" s="884"/>
      <c r="B68" s="838"/>
      <c r="C68" s="885" t="s">
        <v>516</v>
      </c>
      <c r="D68" s="443"/>
      <c r="E68" s="443"/>
      <c r="F68" s="886"/>
      <c r="G68" s="887" t="s">
        <v>252</v>
      </c>
      <c r="H68" s="888"/>
      <c r="I68" s="885" t="s">
        <v>516</v>
      </c>
      <c r="J68" s="443"/>
      <c r="K68" s="443"/>
      <c r="L68" s="886"/>
      <c r="M68" s="887" t="s">
        <v>252</v>
      </c>
      <c r="N68" s="888"/>
      <c r="O68" s="437"/>
      <c r="P68" s="852" t="s">
        <v>517</v>
      </c>
      <c r="Q68" s="853"/>
    </row>
    <row r="69" ht="15.75" customHeight="1">
      <c r="A69" s="889"/>
      <c r="B69" s="889"/>
      <c r="C69" s="889"/>
      <c r="D69" s="889"/>
      <c r="E69" s="889"/>
      <c r="F69" s="889"/>
      <c r="G69" s="889"/>
      <c r="H69" s="889"/>
      <c r="I69" s="889"/>
      <c r="J69" s="889"/>
      <c r="K69" s="889"/>
      <c r="L69" s="889"/>
      <c r="M69" s="889"/>
      <c r="N69" s="889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M52:N53"/>
    <mergeCell ref="M54:N54"/>
    <mergeCell ref="F52:F53"/>
    <mergeCell ref="G52:G57"/>
    <mergeCell ref="I52:I53"/>
    <mergeCell ref="J52:J53"/>
    <mergeCell ref="K52:K53"/>
    <mergeCell ref="L52:L53"/>
    <mergeCell ref="F54:F56"/>
    <mergeCell ref="I57:L57"/>
    <mergeCell ref="B12:B15"/>
    <mergeCell ref="G12:G15"/>
    <mergeCell ref="C16:F16"/>
    <mergeCell ref="A17:G17"/>
    <mergeCell ref="C27:G27"/>
    <mergeCell ref="A29:A32"/>
    <mergeCell ref="B29:B32"/>
    <mergeCell ref="G31:G32"/>
    <mergeCell ref="C33:F33"/>
    <mergeCell ref="A34:G34"/>
    <mergeCell ref="A50:G50"/>
    <mergeCell ref="A52:A57"/>
    <mergeCell ref="C52:C53"/>
    <mergeCell ref="E52:E56"/>
    <mergeCell ref="A1:M1"/>
    <mergeCell ref="P1:T1"/>
    <mergeCell ref="C3:G3"/>
    <mergeCell ref="I3:M3"/>
    <mergeCell ref="A5:A6"/>
    <mergeCell ref="B5:B6"/>
    <mergeCell ref="P5:Q5"/>
    <mergeCell ref="I15:L15"/>
    <mergeCell ref="P19:Q19"/>
    <mergeCell ref="I27:N27"/>
    <mergeCell ref="P27:T27"/>
    <mergeCell ref="A7:F7"/>
    <mergeCell ref="I7:L7"/>
    <mergeCell ref="A8:G8"/>
    <mergeCell ref="C10:G10"/>
    <mergeCell ref="I10:N10"/>
    <mergeCell ref="P10:T10"/>
    <mergeCell ref="A12:A15"/>
    <mergeCell ref="I34:L34"/>
    <mergeCell ref="I35:L35"/>
    <mergeCell ref="P38:P39"/>
    <mergeCell ref="P41:P42"/>
    <mergeCell ref="P47:Q47"/>
    <mergeCell ref="P49:T49"/>
    <mergeCell ref="I50:N50"/>
    <mergeCell ref="P54:P55"/>
    <mergeCell ref="E29:E30"/>
    <mergeCell ref="G29:G30"/>
    <mergeCell ref="P29:P30"/>
    <mergeCell ref="I31:L31"/>
    <mergeCell ref="M31:N31"/>
    <mergeCell ref="P31:P32"/>
    <mergeCell ref="J32:J33"/>
    <mergeCell ref="A58:B58"/>
    <mergeCell ref="C58:F58"/>
    <mergeCell ref="P58:Q58"/>
    <mergeCell ref="A59:G59"/>
    <mergeCell ref="A64:G64"/>
    <mergeCell ref="I64:N64"/>
    <mergeCell ref="P64:T64"/>
    <mergeCell ref="A66:A67"/>
    <mergeCell ref="C68:F68"/>
    <mergeCell ref="I68:L68"/>
    <mergeCell ref="P68:Q68"/>
  </mergeCells>
  <printOptions/>
  <pageMargins bottom="0.75" footer="0.0" header="0.0" left="0.7" right="0.7" top="0.75"/>
  <pageSetup scale="8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2.75"/>
    <col customWidth="1" min="3" max="3" width="9.0"/>
    <col customWidth="1" min="4" max="4" width="9.75"/>
    <col customWidth="1" min="5" max="5" width="11.38"/>
    <col customWidth="1" min="6" max="6" width="10.13"/>
    <col customWidth="1" min="7" max="7" width="21.13"/>
    <col customWidth="1" min="8" max="8" width="4.38"/>
    <col customWidth="1" min="9" max="9" width="8.88"/>
    <col customWidth="1" min="10" max="10" width="10.38"/>
    <col customWidth="1" min="11" max="11" width="11.0"/>
    <col customWidth="1" min="12" max="12" width="9.0"/>
    <col customWidth="1" min="13" max="13" width="17.0"/>
    <col customWidth="1" min="14" max="26" width="8.88"/>
  </cols>
  <sheetData>
    <row r="1">
      <c r="A1" s="890" t="s">
        <v>425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2"/>
    </row>
    <row r="2">
      <c r="A2" s="891"/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1"/>
    </row>
    <row r="3">
      <c r="A3" s="892"/>
      <c r="B3" s="893"/>
      <c r="C3" s="894" t="s">
        <v>2</v>
      </c>
      <c r="D3" s="322"/>
      <c r="E3" s="322"/>
      <c r="F3" s="322"/>
      <c r="G3" s="323"/>
      <c r="H3" s="893"/>
      <c r="I3" s="894" t="s">
        <v>3</v>
      </c>
      <c r="J3" s="322"/>
      <c r="K3" s="322"/>
      <c r="L3" s="322"/>
      <c r="M3" s="323"/>
    </row>
    <row r="4">
      <c r="A4" s="895"/>
      <c r="B4" s="896" t="s">
        <v>431</v>
      </c>
      <c r="C4" s="896" t="s">
        <v>105</v>
      </c>
      <c r="D4" s="897" t="s">
        <v>432</v>
      </c>
      <c r="E4" s="896" t="s">
        <v>338</v>
      </c>
      <c r="F4" s="896" t="s">
        <v>339</v>
      </c>
      <c r="G4" s="896" t="s">
        <v>433</v>
      </c>
      <c r="H4" s="896"/>
      <c r="I4" s="896" t="s">
        <v>105</v>
      </c>
      <c r="J4" s="896" t="s">
        <v>106</v>
      </c>
      <c r="K4" s="896" t="s">
        <v>107</v>
      </c>
      <c r="L4" s="896" t="s">
        <v>108</v>
      </c>
      <c r="M4" s="896" t="s">
        <v>109</v>
      </c>
    </row>
    <row r="5" ht="40.5" customHeight="1">
      <c r="A5" s="898" t="s">
        <v>19</v>
      </c>
      <c r="B5" s="899" t="s">
        <v>518</v>
      </c>
      <c r="C5" s="900" t="s">
        <v>173</v>
      </c>
      <c r="D5" s="900">
        <v>11.0</v>
      </c>
      <c r="E5" s="900" t="s">
        <v>519</v>
      </c>
      <c r="F5" s="901" t="s">
        <v>174</v>
      </c>
      <c r="G5" s="902" t="s">
        <v>520</v>
      </c>
      <c r="H5" s="903"/>
      <c r="I5" s="904" t="s">
        <v>173</v>
      </c>
      <c r="J5" s="905">
        <v>11.0</v>
      </c>
      <c r="K5" s="905" t="s">
        <v>521</v>
      </c>
      <c r="L5" s="906" t="s">
        <v>469</v>
      </c>
      <c r="M5" s="906" t="s">
        <v>243</v>
      </c>
    </row>
    <row r="6">
      <c r="A6" s="907"/>
      <c r="B6" s="443"/>
      <c r="C6" s="443"/>
      <c r="D6" s="443"/>
      <c r="E6" s="443"/>
      <c r="F6" s="730"/>
      <c r="G6" s="908" t="s">
        <v>252</v>
      </c>
      <c r="H6" s="909"/>
      <c r="I6" s="910" t="s">
        <v>440</v>
      </c>
      <c r="J6" s="105"/>
      <c r="K6" s="105"/>
      <c r="L6" s="106"/>
      <c r="M6" s="911" t="s">
        <v>121</v>
      </c>
    </row>
    <row r="7" ht="15.0" customHeight="1">
      <c r="A7" s="912" t="s">
        <v>522</v>
      </c>
      <c r="B7" s="105"/>
      <c r="C7" s="105"/>
      <c r="D7" s="105"/>
      <c r="E7" s="105"/>
      <c r="F7" s="105"/>
      <c r="G7" s="106"/>
      <c r="H7" s="909"/>
      <c r="I7" s="913"/>
      <c r="J7" s="913"/>
      <c r="K7" s="913"/>
      <c r="L7" s="913"/>
      <c r="M7" s="914"/>
    </row>
    <row r="9">
      <c r="A9" s="890" t="s">
        <v>425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2"/>
    </row>
    <row r="10">
      <c r="A10" s="891"/>
      <c r="B10" s="891"/>
      <c r="C10" s="891"/>
      <c r="D10" s="891"/>
      <c r="E10" s="891"/>
      <c r="F10" s="891"/>
      <c r="G10" s="891"/>
      <c r="H10" s="891"/>
      <c r="I10" s="891"/>
      <c r="J10" s="891"/>
      <c r="K10" s="891"/>
      <c r="L10" s="891"/>
      <c r="M10" s="891"/>
    </row>
    <row r="11">
      <c r="A11" s="892"/>
      <c r="B11" s="893"/>
      <c r="C11" s="894" t="s">
        <v>2</v>
      </c>
      <c r="D11" s="322"/>
      <c r="E11" s="322"/>
      <c r="F11" s="322"/>
      <c r="G11" s="323"/>
      <c r="H11" s="893"/>
      <c r="I11" s="894" t="s">
        <v>3</v>
      </c>
      <c r="J11" s="322"/>
      <c r="K11" s="322"/>
      <c r="L11" s="322"/>
      <c r="M11" s="323"/>
    </row>
    <row r="12">
      <c r="A12" s="895"/>
      <c r="B12" s="896" t="s">
        <v>431</v>
      </c>
      <c r="C12" s="896" t="s">
        <v>105</v>
      </c>
      <c r="D12" s="897" t="s">
        <v>432</v>
      </c>
      <c r="E12" s="896" t="s">
        <v>338</v>
      </c>
      <c r="F12" s="896" t="s">
        <v>339</v>
      </c>
      <c r="G12" s="896" t="s">
        <v>433</v>
      </c>
      <c r="H12" s="896"/>
      <c r="I12" s="896" t="s">
        <v>105</v>
      </c>
      <c r="J12" s="896" t="s">
        <v>106</v>
      </c>
      <c r="K12" s="896" t="s">
        <v>107</v>
      </c>
      <c r="L12" s="896" t="s">
        <v>108</v>
      </c>
      <c r="M12" s="896" t="s">
        <v>109</v>
      </c>
    </row>
    <row r="13">
      <c r="A13" s="898" t="s">
        <v>19</v>
      </c>
      <c r="B13" s="899" t="s">
        <v>523</v>
      </c>
      <c r="C13" s="900" t="s">
        <v>98</v>
      </c>
      <c r="D13" s="915">
        <v>9.0</v>
      </c>
      <c r="E13" s="900" t="s">
        <v>524</v>
      </c>
      <c r="F13" s="901" t="s">
        <v>525</v>
      </c>
      <c r="G13" s="902" t="s">
        <v>112</v>
      </c>
      <c r="H13" s="903"/>
      <c r="I13" s="904" t="s">
        <v>98</v>
      </c>
      <c r="J13" s="905">
        <v>9.0</v>
      </c>
      <c r="K13" s="905" t="s">
        <v>521</v>
      </c>
      <c r="L13" s="906" t="s">
        <v>353</v>
      </c>
      <c r="M13" s="906" t="s">
        <v>112</v>
      </c>
    </row>
    <row r="14">
      <c r="A14" s="916"/>
      <c r="B14" s="198"/>
      <c r="C14" s="198"/>
      <c r="D14" s="198"/>
      <c r="E14" s="198"/>
      <c r="F14" s="199"/>
      <c r="G14" s="902" t="s">
        <v>252</v>
      </c>
      <c r="H14" s="909"/>
      <c r="I14" s="910" t="s">
        <v>526</v>
      </c>
      <c r="J14" s="105"/>
      <c r="K14" s="105"/>
      <c r="L14" s="106"/>
      <c r="M14" s="911" t="s">
        <v>252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11:G11"/>
    <mergeCell ref="I11:M11"/>
    <mergeCell ref="A14:F14"/>
    <mergeCell ref="I14:L14"/>
    <mergeCell ref="A1:M1"/>
    <mergeCell ref="C3:G3"/>
    <mergeCell ref="I3:M3"/>
    <mergeCell ref="A6:F6"/>
    <mergeCell ref="I6:L6"/>
    <mergeCell ref="A7:G7"/>
    <mergeCell ref="A9:M9"/>
  </mergeCells>
  <printOptions/>
  <pageMargins bottom="0.75" footer="0.0" header="0.0" left="0.7" right="0.7" top="0.75"/>
  <pageSetup scale="8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4.25"/>
    <col customWidth="1" min="3" max="5" width="8.88"/>
    <col customWidth="1" min="6" max="6" width="10.88"/>
    <col customWidth="1" min="7" max="7" width="12.38"/>
    <col customWidth="1" min="8" max="11" width="8.88"/>
    <col customWidth="1" min="12" max="12" width="11.25"/>
    <col customWidth="1" min="13" max="13" width="11.63"/>
    <col customWidth="1" min="14" max="26" width="8.88"/>
  </cols>
  <sheetData>
    <row r="1">
      <c r="A1" s="698" t="s">
        <v>425</v>
      </c>
    </row>
    <row r="3">
      <c r="A3" s="917"/>
      <c r="B3" s="861"/>
      <c r="C3" s="918" t="s">
        <v>2</v>
      </c>
      <c r="D3" s="322"/>
      <c r="E3" s="322"/>
      <c r="F3" s="322"/>
      <c r="G3" s="323"/>
      <c r="H3" s="861"/>
      <c r="I3" s="918" t="s">
        <v>3</v>
      </c>
      <c r="J3" s="322"/>
      <c r="K3" s="322"/>
      <c r="L3" s="322"/>
      <c r="M3" s="323"/>
    </row>
    <row r="4">
      <c r="A4" s="863"/>
      <c r="B4" s="864" t="s">
        <v>431</v>
      </c>
      <c r="C4" s="864" t="s">
        <v>105</v>
      </c>
      <c r="D4" s="865" t="s">
        <v>432</v>
      </c>
      <c r="E4" s="864" t="s">
        <v>338</v>
      </c>
      <c r="F4" s="864" t="s">
        <v>339</v>
      </c>
      <c r="G4" s="864" t="s">
        <v>433</v>
      </c>
      <c r="H4" s="864"/>
      <c r="I4" s="864" t="s">
        <v>105</v>
      </c>
      <c r="J4" s="864" t="s">
        <v>527</v>
      </c>
      <c r="K4" s="864" t="s">
        <v>107</v>
      </c>
      <c r="L4" s="864" t="s">
        <v>108</v>
      </c>
      <c r="M4" s="864" t="s">
        <v>109</v>
      </c>
    </row>
    <row r="5">
      <c r="A5" s="884" t="s">
        <v>19</v>
      </c>
      <c r="B5" s="919" t="s">
        <v>218</v>
      </c>
      <c r="C5" s="869" t="s">
        <v>186</v>
      </c>
      <c r="D5" s="869">
        <v>12.0</v>
      </c>
      <c r="E5" s="869" t="s">
        <v>528</v>
      </c>
      <c r="F5" s="871" t="s">
        <v>87</v>
      </c>
      <c r="G5" s="920" t="s">
        <v>243</v>
      </c>
      <c r="H5" s="921"/>
      <c r="I5" s="922" t="s">
        <v>186</v>
      </c>
      <c r="J5" s="922">
        <v>12.0</v>
      </c>
      <c r="K5" s="922" t="s">
        <v>528</v>
      </c>
      <c r="L5" s="876" t="s">
        <v>94</v>
      </c>
      <c r="M5" s="876" t="s">
        <v>243</v>
      </c>
    </row>
    <row r="6">
      <c r="A6" s="884" t="s">
        <v>19</v>
      </c>
      <c r="B6" s="919" t="s">
        <v>218</v>
      </c>
      <c r="C6" s="869" t="s">
        <v>230</v>
      </c>
      <c r="D6" s="869">
        <v>10.0</v>
      </c>
      <c r="E6" s="869" t="s">
        <v>528</v>
      </c>
      <c r="F6" s="871" t="s">
        <v>87</v>
      </c>
      <c r="G6" s="920" t="s">
        <v>120</v>
      </c>
      <c r="H6" s="923"/>
      <c r="I6" s="922" t="s">
        <v>230</v>
      </c>
      <c r="J6" s="922">
        <v>10.0</v>
      </c>
      <c r="K6" s="922" t="s">
        <v>528</v>
      </c>
      <c r="L6" s="876" t="s">
        <v>94</v>
      </c>
      <c r="M6" s="876" t="s">
        <v>120</v>
      </c>
    </row>
    <row r="7">
      <c r="A7" s="924" t="s">
        <v>529</v>
      </c>
      <c r="B7" s="443"/>
      <c r="C7" s="443"/>
      <c r="D7" s="443"/>
      <c r="E7" s="443"/>
      <c r="F7" s="730"/>
      <c r="G7" s="925"/>
      <c r="H7" s="923"/>
      <c r="I7" s="926" t="s">
        <v>526</v>
      </c>
      <c r="J7" s="105"/>
      <c r="K7" s="105"/>
      <c r="L7" s="106"/>
      <c r="M7" s="927" t="s">
        <v>252</v>
      </c>
    </row>
    <row r="8">
      <c r="A8" s="889"/>
      <c r="B8" s="889"/>
      <c r="C8" s="889"/>
      <c r="D8" s="889"/>
      <c r="E8" s="889"/>
      <c r="F8" s="889"/>
      <c r="G8" s="889"/>
      <c r="H8" s="889"/>
      <c r="I8" s="889"/>
      <c r="J8" s="889"/>
      <c r="K8" s="889"/>
      <c r="L8" s="889"/>
      <c r="M8" s="889"/>
    </row>
    <row r="10">
      <c r="A10" s="698" t="s">
        <v>425</v>
      </c>
    </row>
    <row r="12">
      <c r="A12" s="917"/>
      <c r="B12" s="861"/>
      <c r="C12" s="918" t="s">
        <v>2</v>
      </c>
      <c r="D12" s="322"/>
      <c r="E12" s="322"/>
      <c r="F12" s="322"/>
      <c r="G12" s="323"/>
      <c r="H12" s="861"/>
      <c r="I12" s="918" t="s">
        <v>3</v>
      </c>
      <c r="J12" s="322"/>
      <c r="K12" s="322"/>
      <c r="L12" s="322"/>
      <c r="M12" s="323"/>
    </row>
    <row r="13">
      <c r="A13" s="863"/>
      <c r="B13" s="864" t="s">
        <v>431</v>
      </c>
      <c r="C13" s="864" t="s">
        <v>105</v>
      </c>
      <c r="D13" s="865" t="s">
        <v>432</v>
      </c>
      <c r="E13" s="864" t="s">
        <v>338</v>
      </c>
      <c r="F13" s="864" t="s">
        <v>339</v>
      </c>
      <c r="G13" s="864" t="s">
        <v>433</v>
      </c>
      <c r="H13" s="864"/>
      <c r="I13" s="864" t="s">
        <v>105</v>
      </c>
      <c r="J13" s="864" t="s">
        <v>527</v>
      </c>
      <c r="K13" s="864" t="s">
        <v>107</v>
      </c>
      <c r="L13" s="864" t="s">
        <v>108</v>
      </c>
      <c r="M13" s="864" t="s">
        <v>109</v>
      </c>
    </row>
    <row r="14">
      <c r="A14" s="884" t="s">
        <v>19</v>
      </c>
      <c r="B14" s="919" t="s">
        <v>513</v>
      </c>
      <c r="C14" s="869" t="s">
        <v>169</v>
      </c>
      <c r="D14" s="869">
        <v>20.0</v>
      </c>
      <c r="E14" s="869" t="s">
        <v>530</v>
      </c>
      <c r="F14" s="871" t="s">
        <v>256</v>
      </c>
      <c r="G14" s="920" t="s">
        <v>531</v>
      </c>
      <c r="H14" s="921"/>
      <c r="I14" s="922" t="s">
        <v>169</v>
      </c>
      <c r="J14" s="922">
        <v>20.0</v>
      </c>
      <c r="K14" s="922" t="s">
        <v>530</v>
      </c>
      <c r="L14" s="876" t="s">
        <v>272</v>
      </c>
      <c r="M14" s="876" t="s">
        <v>243</v>
      </c>
    </row>
    <row r="15">
      <c r="A15" s="884" t="s">
        <v>19</v>
      </c>
      <c r="B15" s="919" t="s">
        <v>513</v>
      </c>
      <c r="C15" s="869" t="s">
        <v>162</v>
      </c>
      <c r="D15" s="869">
        <v>17.0</v>
      </c>
      <c r="E15" s="869" t="s">
        <v>530</v>
      </c>
      <c r="F15" s="871" t="s">
        <v>272</v>
      </c>
      <c r="G15" s="920" t="s">
        <v>531</v>
      </c>
      <c r="H15" s="923"/>
      <c r="I15" s="922" t="s">
        <v>162</v>
      </c>
      <c r="J15" s="922">
        <v>17.0</v>
      </c>
      <c r="K15" s="922" t="s">
        <v>530</v>
      </c>
      <c r="L15" s="876" t="s">
        <v>502</v>
      </c>
      <c r="M15" s="876" t="s">
        <v>243</v>
      </c>
    </row>
    <row r="16">
      <c r="A16" s="924"/>
      <c r="B16" s="443"/>
      <c r="C16" s="443"/>
      <c r="D16" s="443"/>
      <c r="E16" s="443"/>
      <c r="F16" s="730"/>
      <c r="G16" s="925"/>
      <c r="H16" s="923"/>
      <c r="I16" s="926" t="s">
        <v>507</v>
      </c>
      <c r="J16" s="105"/>
      <c r="K16" s="105"/>
      <c r="L16" s="106"/>
      <c r="M16" s="927" t="s">
        <v>121</v>
      </c>
    </row>
    <row r="17">
      <c r="A17" s="889"/>
      <c r="B17" s="889"/>
      <c r="C17" s="889"/>
      <c r="D17" s="889"/>
      <c r="E17" s="889"/>
      <c r="F17" s="889"/>
      <c r="G17" s="889"/>
      <c r="H17" s="889"/>
      <c r="I17" s="889"/>
      <c r="J17" s="889"/>
      <c r="K17" s="889"/>
      <c r="L17" s="889"/>
      <c r="M17" s="88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12:G12"/>
    <mergeCell ref="A16:F16"/>
    <mergeCell ref="I16:L16"/>
    <mergeCell ref="A1:M1"/>
    <mergeCell ref="C3:G3"/>
    <mergeCell ref="I3:M3"/>
    <mergeCell ref="A7:F7"/>
    <mergeCell ref="I7:L7"/>
    <mergeCell ref="A10:M10"/>
    <mergeCell ref="I12:M1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8.25"/>
    <col customWidth="1" min="3" max="3" width="9.38"/>
    <col customWidth="1" min="4" max="4" width="14.38"/>
    <col customWidth="1" min="5" max="5" width="17.88"/>
    <col customWidth="1" min="6" max="6" width="17.0"/>
    <col customWidth="1" min="7" max="26" width="8.88"/>
  </cols>
  <sheetData>
    <row r="1">
      <c r="A1" s="928" t="s">
        <v>532</v>
      </c>
      <c r="B1" s="101"/>
      <c r="C1" s="101"/>
      <c r="D1" s="101"/>
      <c r="E1" s="101"/>
      <c r="F1" s="102"/>
    </row>
    <row r="2">
      <c r="B2" s="345"/>
      <c r="C2" s="345"/>
      <c r="D2" s="345"/>
      <c r="E2" s="345"/>
    </row>
    <row r="3">
      <c r="A3" s="929" t="s">
        <v>533</v>
      </c>
      <c r="B3" s="929" t="s">
        <v>431</v>
      </c>
      <c r="C3" s="929" t="s">
        <v>105</v>
      </c>
      <c r="D3" s="929" t="s">
        <v>534</v>
      </c>
      <c r="E3" s="929" t="s">
        <v>535</v>
      </c>
      <c r="F3" s="929" t="s">
        <v>438</v>
      </c>
    </row>
    <row r="4" ht="24.0" customHeight="1">
      <c r="A4" s="930">
        <v>45349.0</v>
      </c>
      <c r="B4" s="931" t="s">
        <v>536</v>
      </c>
      <c r="C4" s="932" t="s">
        <v>169</v>
      </c>
      <c r="D4" s="19">
        <v>92.0</v>
      </c>
      <c r="E4" s="933">
        <v>382.2</v>
      </c>
      <c r="F4" s="934">
        <f>+D4*E4</f>
        <v>35162.4</v>
      </c>
    </row>
    <row r="5" ht="15.0" customHeight="1">
      <c r="A5" s="345"/>
      <c r="B5" s="345"/>
      <c r="C5" s="345"/>
      <c r="D5" s="935" t="s">
        <v>537</v>
      </c>
      <c r="E5" s="936" t="s">
        <v>538</v>
      </c>
      <c r="F5" s="937" t="str">
        <f>+HMO_FEB!#REF!</f>
        <v>#ERROR!</v>
      </c>
    </row>
    <row r="6">
      <c r="A6" s="345"/>
      <c r="B6" s="345"/>
      <c r="C6" s="345"/>
      <c r="D6" s="938"/>
      <c r="E6" s="936" t="s">
        <v>539</v>
      </c>
      <c r="F6" s="937">
        <v>2200.0</v>
      </c>
    </row>
    <row r="7">
      <c r="A7" s="345"/>
      <c r="B7" s="345"/>
      <c r="C7" s="345"/>
      <c r="D7" s="938"/>
      <c r="E7" s="939" t="s">
        <v>540</v>
      </c>
      <c r="F7" s="940" t="str">
        <f>SUM(F5:F6)</f>
        <v>#ERROR!</v>
      </c>
    </row>
    <row r="8">
      <c r="A8" s="345"/>
      <c r="B8" s="345"/>
      <c r="C8" s="345"/>
      <c r="D8" s="941"/>
      <c r="E8" s="942" t="s">
        <v>541</v>
      </c>
      <c r="F8" s="943" t="str">
        <f>+F4-F7</f>
        <v>#ERROR!</v>
      </c>
    </row>
    <row r="9">
      <c r="A9" s="345"/>
      <c r="B9" s="345"/>
      <c r="C9" s="345"/>
      <c r="D9" s="345"/>
      <c r="E9" s="345"/>
      <c r="F9" s="345"/>
    </row>
    <row r="10">
      <c r="A10" s="929" t="s">
        <v>533</v>
      </c>
      <c r="B10" s="929" t="s">
        <v>431</v>
      </c>
      <c r="C10" s="929" t="s">
        <v>105</v>
      </c>
      <c r="D10" s="929" t="s">
        <v>534</v>
      </c>
      <c r="E10" s="929" t="s">
        <v>535</v>
      </c>
      <c r="F10" s="929" t="s">
        <v>438</v>
      </c>
    </row>
    <row r="11">
      <c r="A11" s="930">
        <v>45349.0</v>
      </c>
      <c r="B11" s="932" t="s">
        <v>504</v>
      </c>
      <c r="C11" s="932" t="s">
        <v>98</v>
      </c>
      <c r="D11" s="19">
        <v>19.0</v>
      </c>
      <c r="E11" s="933">
        <v>276.0</v>
      </c>
      <c r="F11" s="934">
        <f>+D11*E11</f>
        <v>5244</v>
      </c>
    </row>
    <row r="12" ht="15.0" customHeight="1">
      <c r="A12" s="345"/>
      <c r="B12" s="345"/>
      <c r="C12" s="345"/>
      <c r="D12" s="935" t="s">
        <v>537</v>
      </c>
      <c r="E12" s="936" t="s">
        <v>538</v>
      </c>
      <c r="F12" s="937" t="str">
        <f>+HMO_FEB!#REF!</f>
        <v>#ERROR!</v>
      </c>
    </row>
    <row r="13">
      <c r="A13" s="345"/>
      <c r="B13" s="345"/>
      <c r="C13" s="345"/>
      <c r="D13" s="938"/>
      <c r="E13" s="939" t="s">
        <v>540</v>
      </c>
      <c r="F13" s="940" t="str">
        <f>SUM(F12)</f>
        <v>#ERROR!</v>
      </c>
    </row>
    <row r="14">
      <c r="A14" s="345"/>
      <c r="B14" s="345"/>
      <c r="C14" s="345"/>
      <c r="D14" s="941"/>
      <c r="E14" s="942" t="s">
        <v>541</v>
      </c>
      <c r="F14" s="943" t="str">
        <f>+F11-F13</f>
        <v>#ERROR!</v>
      </c>
    </row>
    <row r="15">
      <c r="A15" s="345"/>
      <c r="B15" s="345"/>
      <c r="C15" s="345"/>
      <c r="D15" s="345"/>
      <c r="E15" s="345"/>
      <c r="F15" s="345"/>
    </row>
    <row r="16">
      <c r="A16" s="345"/>
      <c r="B16" s="345"/>
      <c r="C16" s="345"/>
      <c r="D16" s="345"/>
      <c r="E16" s="345"/>
      <c r="F16" s="345"/>
    </row>
    <row r="17">
      <c r="A17" s="929" t="s">
        <v>533</v>
      </c>
      <c r="B17" s="929" t="s">
        <v>431</v>
      </c>
      <c r="C17" s="929" t="s">
        <v>105</v>
      </c>
      <c r="D17" s="929" t="s">
        <v>534</v>
      </c>
      <c r="E17" s="929" t="s">
        <v>535</v>
      </c>
      <c r="F17" s="929" t="s">
        <v>438</v>
      </c>
    </row>
    <row r="18" ht="28.5" customHeight="1">
      <c r="A18" s="930">
        <v>45350.0</v>
      </c>
      <c r="B18" s="931" t="s">
        <v>542</v>
      </c>
      <c r="C18" s="932" t="s">
        <v>169</v>
      </c>
      <c r="D18" s="19">
        <v>134.0</v>
      </c>
      <c r="E18" s="933">
        <v>382.2</v>
      </c>
      <c r="F18" s="934">
        <f>+D18*E18</f>
        <v>51214.8</v>
      </c>
    </row>
    <row r="19">
      <c r="A19" s="345"/>
      <c r="B19" s="345"/>
      <c r="C19" s="345"/>
      <c r="D19" s="935" t="s">
        <v>537</v>
      </c>
      <c r="E19" s="936" t="s">
        <v>538</v>
      </c>
      <c r="F19" s="937" t="str">
        <f>+HMO_FEB!#REF!</f>
        <v>#ERROR!</v>
      </c>
    </row>
    <row r="20">
      <c r="A20" s="345"/>
      <c r="B20" s="345"/>
      <c r="C20" s="345"/>
      <c r="D20" s="938"/>
      <c r="E20" s="936" t="s">
        <v>539</v>
      </c>
      <c r="F20" s="937">
        <v>300.0</v>
      </c>
    </row>
    <row r="21" ht="15.75" customHeight="1">
      <c r="A21" s="345"/>
      <c r="B21" s="345"/>
      <c r="C21" s="345"/>
      <c r="D21" s="938"/>
      <c r="E21" s="939" t="s">
        <v>540</v>
      </c>
      <c r="F21" s="940" t="str">
        <f>SUM(F19:F20)</f>
        <v>#ERROR!</v>
      </c>
    </row>
    <row r="22" ht="15.75" customHeight="1">
      <c r="A22" s="345"/>
      <c r="B22" s="345"/>
      <c r="C22" s="345"/>
      <c r="D22" s="941"/>
      <c r="E22" s="942" t="s">
        <v>541</v>
      </c>
      <c r="F22" s="943" t="str">
        <f>+F18-F21</f>
        <v>#ERROR!</v>
      </c>
    </row>
    <row r="23" ht="15.75" customHeight="1"/>
    <row r="24" ht="15.75" customHeight="1"/>
    <row r="25" ht="15.75" customHeight="1">
      <c r="A25" s="929" t="s">
        <v>533</v>
      </c>
      <c r="B25" s="929" t="s">
        <v>431</v>
      </c>
      <c r="C25" s="929" t="s">
        <v>105</v>
      </c>
      <c r="D25" s="929" t="s">
        <v>534</v>
      </c>
      <c r="E25" s="929" t="s">
        <v>535</v>
      </c>
      <c r="F25" s="929" t="s">
        <v>438</v>
      </c>
    </row>
    <row r="26" ht="15.75" customHeight="1">
      <c r="A26" s="930">
        <v>45351.0</v>
      </c>
      <c r="B26" s="931" t="s">
        <v>543</v>
      </c>
      <c r="C26" s="932" t="s">
        <v>169</v>
      </c>
      <c r="D26" s="19">
        <v>65.0</v>
      </c>
      <c r="E26" s="933">
        <v>382.2</v>
      </c>
      <c r="F26" s="934">
        <f>+D26*E26</f>
        <v>24843</v>
      </c>
    </row>
    <row r="27" ht="15.75" customHeight="1">
      <c r="A27" s="345"/>
      <c r="B27" s="345"/>
      <c r="C27" s="345"/>
      <c r="D27" s="935" t="s">
        <v>537</v>
      </c>
      <c r="E27" s="936" t="s">
        <v>538</v>
      </c>
      <c r="F27" s="937" t="str">
        <f>+HMO_FEB!#REF!</f>
        <v>#ERROR!</v>
      </c>
    </row>
    <row r="28" ht="15.75" customHeight="1">
      <c r="A28" s="345"/>
      <c r="B28" s="345"/>
      <c r="C28" s="345"/>
      <c r="D28" s="938"/>
      <c r="E28" s="936" t="s">
        <v>539</v>
      </c>
      <c r="F28" s="937">
        <v>0.0</v>
      </c>
    </row>
    <row r="29" ht="15.75" customHeight="1">
      <c r="A29" s="345"/>
      <c r="B29" s="345"/>
      <c r="C29" s="345"/>
      <c r="D29" s="938"/>
      <c r="E29" s="939" t="s">
        <v>540</v>
      </c>
      <c r="F29" s="940" t="str">
        <f>SUM(F27:F28)</f>
        <v>#ERROR!</v>
      </c>
    </row>
    <row r="30" ht="15.75" customHeight="1">
      <c r="A30" s="345"/>
      <c r="B30" s="345"/>
      <c r="C30" s="345"/>
      <c r="D30" s="941"/>
      <c r="E30" s="942" t="s">
        <v>541</v>
      </c>
      <c r="F30" s="943" t="str">
        <f>+F26-F29</f>
        <v>#ERROR!</v>
      </c>
    </row>
    <row r="31" ht="15.75" customHeight="1"/>
    <row r="32" ht="15.75" customHeight="1"/>
    <row r="33" ht="15.75" customHeight="1">
      <c r="A33" s="929" t="s">
        <v>533</v>
      </c>
      <c r="B33" s="929" t="s">
        <v>431</v>
      </c>
      <c r="C33" s="929" t="s">
        <v>105</v>
      </c>
      <c r="D33" s="929" t="s">
        <v>534</v>
      </c>
      <c r="E33" s="929" t="s">
        <v>535</v>
      </c>
      <c r="F33" s="929" t="s">
        <v>438</v>
      </c>
    </row>
    <row r="34" ht="16.5" customHeight="1">
      <c r="A34" s="944">
        <v>45356.0</v>
      </c>
      <c r="B34" s="19" t="s">
        <v>435</v>
      </c>
      <c r="C34" s="23" t="s">
        <v>230</v>
      </c>
      <c r="D34" s="19">
        <v>7.0</v>
      </c>
      <c r="E34" s="933">
        <v>276.0</v>
      </c>
      <c r="F34" s="934">
        <f t="shared" ref="F34:F35" si="1">+D34*E34</f>
        <v>1932</v>
      </c>
    </row>
    <row r="35" ht="15.75" customHeight="1">
      <c r="A35" s="36"/>
      <c r="B35" s="36"/>
      <c r="C35" s="945" t="s">
        <v>186</v>
      </c>
      <c r="D35" s="946">
        <v>13.0</v>
      </c>
      <c r="E35" s="947">
        <v>267.6</v>
      </c>
      <c r="F35" s="948">
        <f t="shared" si="1"/>
        <v>3478.8</v>
      </c>
    </row>
    <row r="36" ht="28.5" customHeight="1">
      <c r="A36" s="949"/>
      <c r="B36" s="728"/>
      <c r="C36" s="854"/>
      <c r="D36" s="728"/>
      <c r="E36" s="950" t="s">
        <v>544</v>
      </c>
      <c r="F36" s="948">
        <f>+F34+F35</f>
        <v>5410.8</v>
      </c>
    </row>
    <row r="37" ht="15.0" customHeight="1">
      <c r="A37" s="345"/>
      <c r="B37" s="345"/>
      <c r="C37" s="345"/>
      <c r="D37" s="935" t="s">
        <v>537</v>
      </c>
      <c r="E37" s="951" t="s">
        <v>538</v>
      </c>
      <c r="F37" s="952">
        <f>+MARZO!S5</f>
        <v>1567.5</v>
      </c>
    </row>
    <row r="38" ht="15.75" customHeight="1">
      <c r="A38" s="345"/>
      <c r="B38" s="345"/>
      <c r="C38" s="345"/>
      <c r="D38" s="938"/>
      <c r="E38" s="953" t="s">
        <v>540</v>
      </c>
      <c r="F38" s="940">
        <f>SUM(F37)</f>
        <v>1567.5</v>
      </c>
    </row>
    <row r="39" ht="15.75" customHeight="1">
      <c r="A39" s="345"/>
      <c r="B39" s="345"/>
      <c r="C39" s="345"/>
      <c r="D39" s="941"/>
      <c r="E39" s="942" t="s">
        <v>541</v>
      </c>
      <c r="F39" s="943">
        <f>+F36-F38</f>
        <v>3843.3</v>
      </c>
    </row>
    <row r="40" ht="15.75" customHeight="1"/>
    <row r="41" ht="15.75" customHeight="1">
      <c r="A41" s="929" t="s">
        <v>533</v>
      </c>
      <c r="B41" s="929" t="s">
        <v>431</v>
      </c>
      <c r="C41" s="929" t="s">
        <v>105</v>
      </c>
      <c r="D41" s="929" t="s">
        <v>534</v>
      </c>
      <c r="E41" s="929" t="s">
        <v>535</v>
      </c>
      <c r="F41" s="929" t="s">
        <v>438</v>
      </c>
    </row>
    <row r="42" ht="15.75" customHeight="1">
      <c r="A42" s="944">
        <v>45356.0</v>
      </c>
      <c r="B42" s="19" t="s">
        <v>1</v>
      </c>
      <c r="C42" s="23" t="s">
        <v>378</v>
      </c>
      <c r="D42" s="19">
        <v>23.0</v>
      </c>
      <c r="E42" s="933">
        <v>250.8</v>
      </c>
      <c r="F42" s="934">
        <f t="shared" ref="F42:F44" si="2">+D42*E42</f>
        <v>5768.4</v>
      </c>
    </row>
    <row r="43" ht="15.75" customHeight="1">
      <c r="A43" s="30"/>
      <c r="B43" s="30"/>
      <c r="C43" s="23" t="s">
        <v>186</v>
      </c>
      <c r="D43" s="19">
        <v>17.0</v>
      </c>
      <c r="E43" s="933">
        <v>267.6</v>
      </c>
      <c r="F43" s="934">
        <f t="shared" si="2"/>
        <v>4549.2</v>
      </c>
    </row>
    <row r="44" ht="15.75" customHeight="1">
      <c r="A44" s="36"/>
      <c r="B44" s="36"/>
      <c r="C44" s="945" t="s">
        <v>230</v>
      </c>
      <c r="D44" s="946">
        <v>69.0</v>
      </c>
      <c r="E44" s="947">
        <v>276.0</v>
      </c>
      <c r="F44" s="948">
        <f t="shared" si="2"/>
        <v>19044</v>
      </c>
    </row>
    <row r="45" ht="15.75" customHeight="1">
      <c r="A45" s="949"/>
      <c r="B45" s="728"/>
      <c r="C45" s="854"/>
      <c r="D45" s="728"/>
      <c r="E45" s="950" t="s">
        <v>544</v>
      </c>
      <c r="F45" s="948">
        <f>+F42+F44</f>
        <v>24812.4</v>
      </c>
    </row>
    <row r="46" ht="15.75" customHeight="1">
      <c r="A46" s="345"/>
      <c r="B46" s="345"/>
      <c r="C46" s="345"/>
      <c r="D46" s="935" t="s">
        <v>537</v>
      </c>
      <c r="E46" s="951" t="s">
        <v>538</v>
      </c>
      <c r="F46" s="952">
        <f>+MARZO!S19</f>
        <v>6012.5</v>
      </c>
    </row>
    <row r="47" ht="15.75" customHeight="1">
      <c r="A47" s="345"/>
      <c r="B47" s="345"/>
      <c r="C47" s="345"/>
      <c r="D47" s="938"/>
      <c r="E47" s="953" t="s">
        <v>540</v>
      </c>
      <c r="F47" s="940">
        <f>SUM(F46)</f>
        <v>6012.5</v>
      </c>
    </row>
    <row r="48" ht="15.75" customHeight="1">
      <c r="A48" s="345"/>
      <c r="B48" s="345"/>
      <c r="C48" s="345"/>
      <c r="D48" s="941"/>
      <c r="E48" s="942" t="s">
        <v>541</v>
      </c>
      <c r="F48" s="943">
        <f>+F45-F47</f>
        <v>18799.9</v>
      </c>
    </row>
    <row r="49" ht="15.75" customHeight="1"/>
    <row r="50" ht="15.75" customHeight="1"/>
    <row r="51" ht="15.75" customHeight="1">
      <c r="A51" s="929" t="s">
        <v>533</v>
      </c>
      <c r="B51" s="929" t="s">
        <v>431</v>
      </c>
      <c r="C51" s="929" t="s">
        <v>105</v>
      </c>
      <c r="D51" s="929" t="s">
        <v>534</v>
      </c>
      <c r="E51" s="929" t="s">
        <v>535</v>
      </c>
      <c r="F51" s="929" t="s">
        <v>438</v>
      </c>
    </row>
    <row r="52" ht="15.75" customHeight="1">
      <c r="A52" s="944">
        <v>45356.0</v>
      </c>
      <c r="B52" s="19" t="s">
        <v>1</v>
      </c>
      <c r="C52" s="23" t="s">
        <v>169</v>
      </c>
      <c r="D52" s="19">
        <v>127.0</v>
      </c>
      <c r="E52" s="933">
        <v>382.5</v>
      </c>
      <c r="F52" s="934">
        <f t="shared" ref="F52:F54" si="3">+D52*E52</f>
        <v>48577.5</v>
      </c>
    </row>
    <row r="53" ht="15.75" customHeight="1">
      <c r="A53" s="30"/>
      <c r="B53" s="30"/>
      <c r="C53" s="23" t="s">
        <v>162</v>
      </c>
      <c r="D53" s="19">
        <v>38.0</v>
      </c>
      <c r="E53" s="933">
        <v>394.8</v>
      </c>
      <c r="F53" s="934">
        <f t="shared" si="3"/>
        <v>15002.4</v>
      </c>
    </row>
    <row r="54" ht="15.75" customHeight="1">
      <c r="A54" s="36"/>
      <c r="B54" s="36"/>
      <c r="C54" s="945" t="s">
        <v>173</v>
      </c>
      <c r="D54" s="946">
        <v>29.0</v>
      </c>
      <c r="E54" s="947">
        <v>614.8</v>
      </c>
      <c r="F54" s="948">
        <f t="shared" si="3"/>
        <v>17829.2</v>
      </c>
    </row>
    <row r="55" ht="15.75" customHeight="1">
      <c r="A55" s="949"/>
      <c r="B55" s="728"/>
      <c r="C55" s="854"/>
      <c r="D55" s="728"/>
      <c r="E55" s="950" t="s">
        <v>544</v>
      </c>
      <c r="F55" s="948">
        <f>+F52+F54</f>
        <v>66406.7</v>
      </c>
    </row>
    <row r="56" ht="15.75" customHeight="1">
      <c r="A56" s="345"/>
      <c r="B56" s="345"/>
      <c r="C56" s="345"/>
      <c r="D56" s="935" t="s">
        <v>537</v>
      </c>
      <c r="E56" s="951" t="s">
        <v>538</v>
      </c>
      <c r="F56" s="952">
        <f>+MARZO!S47</f>
        <v>19382.5</v>
      </c>
    </row>
    <row r="57" ht="15.75" customHeight="1">
      <c r="A57" s="345"/>
      <c r="B57" s="345"/>
      <c r="C57" s="345"/>
      <c r="D57" s="938"/>
      <c r="E57" s="953" t="s">
        <v>540</v>
      </c>
      <c r="F57" s="940">
        <f>SUM(F56)</f>
        <v>19382.5</v>
      </c>
    </row>
    <row r="58" ht="15.75" customHeight="1">
      <c r="A58" s="345"/>
      <c r="B58" s="345"/>
      <c r="C58" s="345"/>
      <c r="D58" s="941"/>
      <c r="E58" s="942" t="s">
        <v>541</v>
      </c>
      <c r="F58" s="943">
        <f>+F55-F57</f>
        <v>47024.2</v>
      </c>
    </row>
    <row r="59" ht="15.75" customHeight="1"/>
    <row r="60" ht="15.75" customHeight="1"/>
    <row r="61" ht="15.75" customHeight="1">
      <c r="A61" s="929" t="s">
        <v>533</v>
      </c>
      <c r="B61" s="929" t="s">
        <v>431</v>
      </c>
      <c r="C61" s="929" t="s">
        <v>105</v>
      </c>
      <c r="D61" s="929" t="s">
        <v>534</v>
      </c>
      <c r="E61" s="929" t="s">
        <v>535</v>
      </c>
      <c r="F61" s="929" t="s">
        <v>438</v>
      </c>
    </row>
    <row r="62" ht="15.75" customHeight="1">
      <c r="A62" s="944" t="s">
        <v>545</v>
      </c>
      <c r="B62" s="19" t="s">
        <v>245</v>
      </c>
      <c r="C62" s="23" t="s">
        <v>169</v>
      </c>
      <c r="D62" s="19">
        <v>14.0</v>
      </c>
      <c r="E62" s="933">
        <v>382.5</v>
      </c>
      <c r="F62" s="934">
        <f t="shared" ref="F62:F63" si="4">+D62*E62</f>
        <v>5355</v>
      </c>
    </row>
    <row r="63" ht="15.75" customHeight="1">
      <c r="A63" s="30"/>
      <c r="B63" s="30"/>
      <c r="C63" s="23" t="s">
        <v>162</v>
      </c>
      <c r="D63" s="19">
        <v>37.0</v>
      </c>
      <c r="E63" s="933">
        <v>394.8</v>
      </c>
      <c r="F63" s="934">
        <f t="shared" si="4"/>
        <v>14607.6</v>
      </c>
    </row>
    <row r="64" ht="15.75" customHeight="1">
      <c r="A64" s="949"/>
      <c r="B64" s="728"/>
      <c r="C64" s="854"/>
      <c r="D64" s="728"/>
      <c r="E64" s="950" t="s">
        <v>544</v>
      </c>
      <c r="F64" s="948">
        <f>SUM(F62:F63)</f>
        <v>19962.6</v>
      </c>
    </row>
    <row r="65" ht="15.75" customHeight="1">
      <c r="A65" s="345"/>
      <c r="B65" s="345"/>
      <c r="C65" s="345"/>
      <c r="D65" s="935" t="s">
        <v>537</v>
      </c>
      <c r="E65" s="951" t="s">
        <v>538</v>
      </c>
      <c r="F65" s="952">
        <v>7522.5</v>
      </c>
    </row>
    <row r="66" ht="15.75" customHeight="1">
      <c r="A66" s="345"/>
      <c r="B66" s="345"/>
      <c r="C66" s="345"/>
      <c r="D66" s="938"/>
      <c r="E66" s="951" t="s">
        <v>546</v>
      </c>
      <c r="F66" s="952">
        <v>750.0</v>
      </c>
    </row>
    <row r="67" ht="15.75" customHeight="1">
      <c r="A67" s="345"/>
      <c r="B67" s="345"/>
      <c r="C67" s="345"/>
      <c r="D67" s="938"/>
      <c r="E67" s="953" t="s">
        <v>540</v>
      </c>
      <c r="F67" s="940">
        <f>SUM(F65:F66)</f>
        <v>8272.5</v>
      </c>
    </row>
    <row r="68" ht="15.75" customHeight="1">
      <c r="A68" s="345"/>
      <c r="B68" s="345"/>
      <c r="C68" s="345"/>
      <c r="D68" s="941"/>
      <c r="E68" s="942" t="s">
        <v>541</v>
      </c>
      <c r="F68" s="943">
        <f>+F64-F67</f>
        <v>11690.1</v>
      </c>
    </row>
    <row r="69" ht="15.75" customHeight="1"/>
    <row r="70" ht="15.75" customHeight="1"/>
    <row r="71" ht="15.75" customHeight="1">
      <c r="A71" s="929" t="s">
        <v>533</v>
      </c>
      <c r="B71" s="929" t="s">
        <v>431</v>
      </c>
      <c r="C71" s="929" t="s">
        <v>105</v>
      </c>
      <c r="D71" s="929" t="s">
        <v>534</v>
      </c>
      <c r="E71" s="929" t="s">
        <v>535</v>
      </c>
      <c r="F71" s="929" t="s">
        <v>438</v>
      </c>
    </row>
    <row r="72" ht="15.75" customHeight="1">
      <c r="A72" s="944">
        <v>45373.0</v>
      </c>
      <c r="B72" s="19" t="s">
        <v>513</v>
      </c>
      <c r="C72" s="23" t="s">
        <v>186</v>
      </c>
      <c r="D72" s="19">
        <v>10.0</v>
      </c>
      <c r="E72" s="933">
        <v>267.6</v>
      </c>
      <c r="F72" s="934">
        <f t="shared" ref="F72:F73" si="5">+D72*E72</f>
        <v>2676</v>
      </c>
    </row>
    <row r="73" ht="15.75" customHeight="1">
      <c r="A73" s="30"/>
      <c r="B73" s="30"/>
      <c r="C73" s="23" t="s">
        <v>230</v>
      </c>
      <c r="D73" s="19">
        <v>13.0</v>
      </c>
      <c r="E73" s="947">
        <v>276.0</v>
      </c>
      <c r="F73" s="934">
        <f t="shared" si="5"/>
        <v>3588</v>
      </c>
    </row>
    <row r="74" ht="15.75" customHeight="1">
      <c r="A74" s="949"/>
      <c r="B74" s="728"/>
      <c r="C74" s="854"/>
      <c r="D74" s="728"/>
      <c r="E74" s="950" t="s">
        <v>544</v>
      </c>
      <c r="F74" s="948">
        <f>SUM(F72:F73)</f>
        <v>6264</v>
      </c>
    </row>
    <row r="75" ht="15.75" customHeight="1">
      <c r="A75" s="345"/>
      <c r="B75" s="345"/>
      <c r="C75" s="345"/>
      <c r="D75" s="935" t="s">
        <v>537</v>
      </c>
      <c r="E75" s="951" t="s">
        <v>538</v>
      </c>
      <c r="F75" s="952">
        <v>1425.0</v>
      </c>
    </row>
    <row r="76" ht="15.75" customHeight="1">
      <c r="A76" s="345"/>
      <c r="B76" s="345"/>
      <c r="C76" s="345"/>
      <c r="D76" s="938"/>
      <c r="E76" s="951" t="s">
        <v>546</v>
      </c>
      <c r="F76" s="952">
        <v>0.0</v>
      </c>
    </row>
    <row r="77" ht="15.75" customHeight="1">
      <c r="A77" s="345"/>
      <c r="B77" s="345"/>
      <c r="C77" s="345"/>
      <c r="D77" s="938"/>
      <c r="E77" s="953" t="s">
        <v>540</v>
      </c>
      <c r="F77" s="940">
        <f>SUM(F75:F76)</f>
        <v>1425</v>
      </c>
    </row>
    <row r="78" ht="15.75" customHeight="1">
      <c r="A78" s="345"/>
      <c r="B78" s="345"/>
      <c r="C78" s="345"/>
      <c r="D78" s="941"/>
      <c r="E78" s="942" t="s">
        <v>541</v>
      </c>
      <c r="F78" s="943">
        <f>+F74-F77</f>
        <v>4839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F1"/>
    <mergeCell ref="D5:D8"/>
    <mergeCell ref="D12:D14"/>
    <mergeCell ref="D19:D22"/>
    <mergeCell ref="D27:D30"/>
    <mergeCell ref="B34:B35"/>
    <mergeCell ref="D37:D39"/>
    <mergeCell ref="A62:A63"/>
    <mergeCell ref="B62:B63"/>
    <mergeCell ref="D65:D68"/>
    <mergeCell ref="A72:A73"/>
    <mergeCell ref="B72:B73"/>
    <mergeCell ref="D75:D78"/>
    <mergeCell ref="A34:A35"/>
    <mergeCell ref="A42:A44"/>
    <mergeCell ref="B42:B44"/>
    <mergeCell ref="D46:D48"/>
    <mergeCell ref="A52:A54"/>
    <mergeCell ref="B52:B54"/>
    <mergeCell ref="D56:D58"/>
  </mergeCells>
  <printOptions/>
  <pageMargins bottom="0.75" footer="0.0" header="0.0" left="0.7" right="0.7" top="0.75"/>
  <pageSetup orientation="portrait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0.63"/>
    <col customWidth="1" min="3" max="3" width="10.38"/>
    <col customWidth="1" min="4" max="4" width="13.75"/>
    <col customWidth="1" min="5" max="5" width="21.25"/>
    <col customWidth="1" min="6" max="6" width="30.13"/>
    <col customWidth="1" min="7" max="26" width="8.88"/>
  </cols>
  <sheetData>
    <row r="1">
      <c r="A1" s="954" t="s">
        <v>427</v>
      </c>
      <c r="B1" s="954" t="s">
        <v>428</v>
      </c>
      <c r="C1" s="954" t="s">
        <v>429</v>
      </c>
      <c r="D1" s="954" t="s">
        <v>77</v>
      </c>
      <c r="E1" s="954" t="s">
        <v>430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1.88"/>
    <col customWidth="1" min="3" max="26" width="8.88"/>
  </cols>
  <sheetData>
    <row r="1">
      <c r="A1" s="955" t="s">
        <v>378</v>
      </c>
      <c r="B1" s="956">
        <v>250.8</v>
      </c>
    </row>
    <row r="2">
      <c r="A2" s="955" t="s">
        <v>186</v>
      </c>
      <c r="B2" s="956">
        <v>267.6</v>
      </c>
    </row>
    <row r="3">
      <c r="A3" s="955" t="s">
        <v>230</v>
      </c>
      <c r="B3" s="956">
        <v>276.0</v>
      </c>
    </row>
    <row r="4">
      <c r="A4" s="955" t="s">
        <v>169</v>
      </c>
      <c r="B4" s="956">
        <v>382.5</v>
      </c>
    </row>
    <row r="5">
      <c r="A5" s="955" t="s">
        <v>162</v>
      </c>
      <c r="B5" s="956">
        <v>394.8</v>
      </c>
    </row>
    <row r="6">
      <c r="A6" s="955" t="s">
        <v>173</v>
      </c>
      <c r="B6" s="956">
        <v>614.8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2024-01-11T18:03:46Z</dcterms:created>
  <dc:creator>Diana Suastegui</dc:creator>
</cp:coreProperties>
</file>